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.kakou\Desktop\"/>
    </mc:Choice>
  </mc:AlternateContent>
  <xr:revisionPtr revIDLastSave="0" documentId="8_{66E984AB-D843-4A1E-A769-6E9AEB0D9D5A}" xr6:coauthVersionLast="47" xr6:coauthVersionMax="47" xr10:uidLastSave="{00000000-0000-0000-0000-000000000000}"/>
  <bookViews>
    <workbookView xWindow="-38510" yWindow="-3900" windowWidth="19420" windowHeight="11020" activeTab="2" xr2:uid="{00000000-000D-0000-FFFF-FFFF00000000}"/>
  </bookViews>
  <sheets>
    <sheet name="Paramètres &gt;" sheetId="8" r:id="rId1"/>
    <sheet name="Plan SYSCOHADA" sheetId="4" r:id="rId2"/>
    <sheet name="BG COMP" sheetId="1" r:id="rId3"/>
    <sheet name="EFS &gt;" sheetId="9" r:id="rId4"/>
    <sheet name="P&amp;L" sheetId="2" r:id="rId5"/>
    <sheet name="Balance sheet" sheetId="3" r:id="rId6"/>
    <sheet name="Valorisation &gt;" sheetId="10" r:id="rId7"/>
    <sheet name="DCF" sheetId="5" r:id="rId8"/>
    <sheet name="Comparables" sheetId="6" r:id="rId9"/>
    <sheet name="Synthèse" sheetId="7" r:id="rId10"/>
    <sheet name="UPSLIDE_UndoFormatting" sheetId="12" state="hidden" r:id="rId11"/>
    <sheet name="UPSLIDE_Undo" sheetId="11" state="hidden" r:id="rId12"/>
  </sheets>
  <definedNames>
    <definedName name="_UNDO_UPS_" hidden="1">Synthèse!$B$9:$C$9,Synthèse!$B$11:$C$11</definedName>
    <definedName name="_UNDO_UPS_SEL_" hidden="1">Synthèse!$B$9:$C$9,Synthèse!$B$11:$C$11</definedName>
    <definedName name="_UNDO31X31X_" hidden="1">Synthèse!$B$9:$C$9,Synthèse!$B$11:$C$11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6" l="1"/>
  <c r="G24" i="6" s="1"/>
  <c r="E23" i="6"/>
  <c r="G23" i="6" s="1"/>
  <c r="E22" i="6"/>
  <c r="G22" i="6" s="1"/>
  <c r="E21" i="6"/>
  <c r="G21" i="6" s="1"/>
  <c r="E20" i="6"/>
  <c r="G20" i="6" s="1"/>
  <c r="E19" i="6"/>
  <c r="G19" i="6" s="1"/>
  <c r="E18" i="6"/>
  <c r="G18" i="6" s="1"/>
  <c r="E17" i="6"/>
  <c r="G17" i="6" s="1"/>
  <c r="E16" i="6"/>
  <c r="G16" i="6" s="1"/>
  <c r="E15" i="6"/>
  <c r="G15" i="6" s="1"/>
  <c r="E14" i="6"/>
  <c r="G14" i="6" s="1"/>
  <c r="E13" i="6"/>
  <c r="G13" i="6" s="1"/>
  <c r="E12" i="6"/>
  <c r="G12" i="6" s="1"/>
  <c r="E11" i="6"/>
  <c r="G11" i="6" s="1"/>
  <c r="E10" i="6"/>
  <c r="G10" i="6" s="1"/>
  <c r="E9" i="6"/>
  <c r="G9" i="6" s="1"/>
  <c r="E8" i="6"/>
  <c r="G8" i="6" s="1"/>
  <c r="E7" i="6"/>
  <c r="G7" i="6" s="1"/>
  <c r="E6" i="6"/>
  <c r="G6" i="6" s="1"/>
  <c r="E5" i="6"/>
  <c r="G5" i="6" s="1"/>
  <c r="C35" i="5"/>
  <c r="G27" i="5"/>
  <c r="F27" i="5"/>
  <c r="E27" i="5"/>
  <c r="D27" i="5"/>
  <c r="C27" i="5"/>
  <c r="C16" i="5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6" i="3"/>
  <c r="E26" i="3"/>
  <c r="D26" i="3"/>
  <c r="F24" i="3"/>
  <c r="E24" i="3"/>
  <c r="D24" i="3"/>
  <c r="F22" i="3"/>
  <c r="E22" i="3"/>
  <c r="D22" i="3"/>
  <c r="F21" i="3"/>
  <c r="E21" i="3"/>
  <c r="E23" i="3" s="1"/>
  <c r="D21" i="3"/>
  <c r="D23" i="3" s="1"/>
  <c r="F19" i="3"/>
  <c r="E19" i="3"/>
  <c r="D19" i="3"/>
  <c r="F18" i="3"/>
  <c r="E18" i="3"/>
  <c r="E20" i="3" s="1"/>
  <c r="E25" i="3" s="1"/>
  <c r="D18" i="3"/>
  <c r="D20" i="3" s="1"/>
  <c r="D25" i="3" s="1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F17" i="3" s="1"/>
  <c r="E8" i="3"/>
  <c r="E17" i="3" s="1"/>
  <c r="D8" i="3"/>
  <c r="D17" i="3" s="1"/>
  <c r="F6" i="3"/>
  <c r="E6" i="3"/>
  <c r="D6" i="3"/>
  <c r="F5" i="3"/>
  <c r="E5" i="3"/>
  <c r="D5" i="3"/>
  <c r="F4" i="3"/>
  <c r="F7" i="3" s="1"/>
  <c r="E4" i="3"/>
  <c r="E7" i="3" s="1"/>
  <c r="E27" i="3" s="1"/>
  <c r="D4" i="3"/>
  <c r="E38" i="2"/>
  <c r="G38" i="2" s="1"/>
  <c r="D38" i="2"/>
  <c r="C38" i="2"/>
  <c r="E37" i="2"/>
  <c r="G37" i="2" s="1"/>
  <c r="D37" i="2"/>
  <c r="C37" i="2"/>
  <c r="E36" i="2"/>
  <c r="G36" i="2" s="1"/>
  <c r="D36" i="2"/>
  <c r="C36" i="2"/>
  <c r="E34" i="2"/>
  <c r="D34" i="2"/>
  <c r="C34" i="2"/>
  <c r="E33" i="2"/>
  <c r="D33" i="2"/>
  <c r="D35" i="2" s="1"/>
  <c r="C33" i="2"/>
  <c r="C35" i="2" s="1"/>
  <c r="E29" i="2"/>
  <c r="D29" i="2"/>
  <c r="C29" i="2"/>
  <c r="E28" i="2"/>
  <c r="D28" i="2"/>
  <c r="D30" i="2" s="1"/>
  <c r="C28" i="2"/>
  <c r="C30" i="2" s="1"/>
  <c r="E25" i="2"/>
  <c r="G25" i="2" s="1"/>
  <c r="D25" i="2"/>
  <c r="C25" i="2"/>
  <c r="E24" i="2"/>
  <c r="G24" i="2" s="1"/>
  <c r="D24" i="2"/>
  <c r="C24" i="2"/>
  <c r="E23" i="2"/>
  <c r="G23" i="2" s="1"/>
  <c r="D23" i="2"/>
  <c r="C23" i="2"/>
  <c r="E22" i="2"/>
  <c r="G22" i="2" s="1"/>
  <c r="D22" i="2"/>
  <c r="C22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C21" i="2" s="1"/>
  <c r="E10" i="2"/>
  <c r="D10" i="2"/>
  <c r="C10" i="2"/>
  <c r="E9" i="2"/>
  <c r="D9" i="2"/>
  <c r="C9" i="2"/>
  <c r="E8" i="2"/>
  <c r="D8" i="2"/>
  <c r="C8" i="2"/>
  <c r="E7" i="2"/>
  <c r="D7" i="2"/>
  <c r="C7" i="2"/>
  <c r="E5" i="2"/>
  <c r="G5" i="2" s="1"/>
  <c r="D5" i="2"/>
  <c r="C5" i="2"/>
  <c r="E4" i="2"/>
  <c r="D4" i="2"/>
  <c r="D6" i="2" s="1"/>
  <c r="C4" i="2"/>
  <c r="C6" i="2" s="1"/>
  <c r="E684" i="1"/>
  <c r="D684" i="1"/>
  <c r="C684" i="1"/>
  <c r="B684" i="1"/>
  <c r="E683" i="1"/>
  <c r="D683" i="1"/>
  <c r="C683" i="1"/>
  <c r="B683" i="1"/>
  <c r="E682" i="1"/>
  <c r="D682" i="1"/>
  <c r="C682" i="1"/>
  <c r="B682" i="1"/>
  <c r="E681" i="1"/>
  <c r="D681" i="1"/>
  <c r="C681" i="1"/>
  <c r="B681" i="1"/>
  <c r="E680" i="1"/>
  <c r="D680" i="1"/>
  <c r="C680" i="1"/>
  <c r="B680" i="1"/>
  <c r="E679" i="1"/>
  <c r="D679" i="1"/>
  <c r="C679" i="1"/>
  <c r="B679" i="1"/>
  <c r="E678" i="1"/>
  <c r="D678" i="1"/>
  <c r="C678" i="1"/>
  <c r="B678" i="1"/>
  <c r="E677" i="1"/>
  <c r="D677" i="1"/>
  <c r="C677" i="1"/>
  <c r="B677" i="1"/>
  <c r="E676" i="1"/>
  <c r="D676" i="1"/>
  <c r="C676" i="1"/>
  <c r="B676" i="1"/>
  <c r="E675" i="1"/>
  <c r="D675" i="1"/>
  <c r="C675" i="1"/>
  <c r="B675" i="1"/>
  <c r="E674" i="1"/>
  <c r="D674" i="1"/>
  <c r="C674" i="1"/>
  <c r="B674" i="1"/>
  <c r="E673" i="1"/>
  <c r="D673" i="1"/>
  <c r="C673" i="1"/>
  <c r="B673" i="1"/>
  <c r="E672" i="1"/>
  <c r="D672" i="1"/>
  <c r="C672" i="1"/>
  <c r="B672" i="1"/>
  <c r="E671" i="1"/>
  <c r="D671" i="1"/>
  <c r="C671" i="1"/>
  <c r="B671" i="1"/>
  <c r="E670" i="1"/>
  <c r="D670" i="1"/>
  <c r="C670" i="1"/>
  <c r="B670" i="1"/>
  <c r="E669" i="1"/>
  <c r="D669" i="1"/>
  <c r="C669" i="1"/>
  <c r="B669" i="1"/>
  <c r="E668" i="1"/>
  <c r="D668" i="1"/>
  <c r="C668" i="1"/>
  <c r="B668" i="1"/>
  <c r="E667" i="1"/>
  <c r="D667" i="1"/>
  <c r="C667" i="1"/>
  <c r="B667" i="1"/>
  <c r="E666" i="1"/>
  <c r="D666" i="1"/>
  <c r="C666" i="1"/>
  <c r="B666" i="1"/>
  <c r="E665" i="1"/>
  <c r="D665" i="1"/>
  <c r="C665" i="1"/>
  <c r="B665" i="1"/>
  <c r="E664" i="1"/>
  <c r="D664" i="1"/>
  <c r="C664" i="1"/>
  <c r="B664" i="1"/>
  <c r="E663" i="1"/>
  <c r="D663" i="1"/>
  <c r="C663" i="1"/>
  <c r="B663" i="1"/>
  <c r="E662" i="1"/>
  <c r="D662" i="1"/>
  <c r="C662" i="1"/>
  <c r="B662" i="1"/>
  <c r="E661" i="1"/>
  <c r="D661" i="1"/>
  <c r="C661" i="1"/>
  <c r="B661" i="1"/>
  <c r="E660" i="1"/>
  <c r="D660" i="1"/>
  <c r="C660" i="1"/>
  <c r="B660" i="1"/>
  <c r="E659" i="1"/>
  <c r="D659" i="1"/>
  <c r="C659" i="1"/>
  <c r="B659" i="1"/>
  <c r="E658" i="1"/>
  <c r="D658" i="1"/>
  <c r="C658" i="1"/>
  <c r="B658" i="1"/>
  <c r="E657" i="1"/>
  <c r="D657" i="1"/>
  <c r="C657" i="1"/>
  <c r="B657" i="1"/>
  <c r="E656" i="1"/>
  <c r="D656" i="1"/>
  <c r="C656" i="1"/>
  <c r="B656" i="1"/>
  <c r="E655" i="1"/>
  <c r="D655" i="1"/>
  <c r="C655" i="1"/>
  <c r="B655" i="1"/>
  <c r="E654" i="1"/>
  <c r="D654" i="1"/>
  <c r="C654" i="1"/>
  <c r="B654" i="1"/>
  <c r="E653" i="1"/>
  <c r="D653" i="1"/>
  <c r="C653" i="1"/>
  <c r="B653" i="1"/>
  <c r="E652" i="1"/>
  <c r="D652" i="1"/>
  <c r="C652" i="1"/>
  <c r="B652" i="1"/>
  <c r="E651" i="1"/>
  <c r="D651" i="1"/>
  <c r="C651" i="1"/>
  <c r="B651" i="1"/>
  <c r="E650" i="1"/>
  <c r="D650" i="1"/>
  <c r="C650" i="1"/>
  <c r="B650" i="1"/>
  <c r="E649" i="1"/>
  <c r="D649" i="1"/>
  <c r="C649" i="1"/>
  <c r="B649" i="1"/>
  <c r="E648" i="1"/>
  <c r="D648" i="1"/>
  <c r="C648" i="1"/>
  <c r="B648" i="1"/>
  <c r="E647" i="1"/>
  <c r="D647" i="1"/>
  <c r="C647" i="1"/>
  <c r="B647" i="1"/>
  <c r="E646" i="1"/>
  <c r="D646" i="1"/>
  <c r="C646" i="1"/>
  <c r="B646" i="1"/>
  <c r="E645" i="1"/>
  <c r="D645" i="1"/>
  <c r="C645" i="1"/>
  <c r="B645" i="1"/>
  <c r="E644" i="1"/>
  <c r="D644" i="1"/>
  <c r="C644" i="1"/>
  <c r="B644" i="1"/>
  <c r="E643" i="1"/>
  <c r="D643" i="1"/>
  <c r="C643" i="1"/>
  <c r="B643" i="1"/>
  <c r="E642" i="1"/>
  <c r="D642" i="1"/>
  <c r="C642" i="1"/>
  <c r="B642" i="1"/>
  <c r="E641" i="1"/>
  <c r="D641" i="1"/>
  <c r="C641" i="1"/>
  <c r="B641" i="1"/>
  <c r="E640" i="1"/>
  <c r="D640" i="1"/>
  <c r="C640" i="1"/>
  <c r="B640" i="1"/>
  <c r="E639" i="1"/>
  <c r="D639" i="1"/>
  <c r="C639" i="1"/>
  <c r="B639" i="1"/>
  <c r="E638" i="1"/>
  <c r="D638" i="1"/>
  <c r="C638" i="1"/>
  <c r="B638" i="1"/>
  <c r="E637" i="1"/>
  <c r="D637" i="1"/>
  <c r="C637" i="1"/>
  <c r="B637" i="1"/>
  <c r="E636" i="1"/>
  <c r="D636" i="1"/>
  <c r="C636" i="1"/>
  <c r="B636" i="1"/>
  <c r="E635" i="1"/>
  <c r="D635" i="1"/>
  <c r="C635" i="1"/>
  <c r="B635" i="1"/>
  <c r="E634" i="1"/>
  <c r="D634" i="1"/>
  <c r="C634" i="1"/>
  <c r="B634" i="1"/>
  <c r="E633" i="1"/>
  <c r="D633" i="1"/>
  <c r="C633" i="1"/>
  <c r="B633" i="1"/>
  <c r="E632" i="1"/>
  <c r="D632" i="1"/>
  <c r="C632" i="1"/>
  <c r="B632" i="1"/>
  <c r="E631" i="1"/>
  <c r="D631" i="1"/>
  <c r="C631" i="1"/>
  <c r="B631" i="1"/>
  <c r="E630" i="1"/>
  <c r="D630" i="1"/>
  <c r="C630" i="1"/>
  <c r="B630" i="1"/>
  <c r="E629" i="1"/>
  <c r="D629" i="1"/>
  <c r="C629" i="1"/>
  <c r="B629" i="1"/>
  <c r="E628" i="1"/>
  <c r="D628" i="1"/>
  <c r="C628" i="1"/>
  <c r="B628" i="1"/>
  <c r="E627" i="1"/>
  <c r="D627" i="1"/>
  <c r="C627" i="1"/>
  <c r="B627" i="1"/>
  <c r="E626" i="1"/>
  <c r="D626" i="1"/>
  <c r="C626" i="1"/>
  <c r="B626" i="1"/>
  <c r="E625" i="1"/>
  <c r="D625" i="1"/>
  <c r="C625" i="1"/>
  <c r="B625" i="1"/>
  <c r="E624" i="1"/>
  <c r="D624" i="1"/>
  <c r="C624" i="1"/>
  <c r="B624" i="1"/>
  <c r="E623" i="1"/>
  <c r="D623" i="1"/>
  <c r="C623" i="1"/>
  <c r="B623" i="1"/>
  <c r="E622" i="1"/>
  <c r="D622" i="1"/>
  <c r="C622" i="1"/>
  <c r="B622" i="1"/>
  <c r="E621" i="1"/>
  <c r="D621" i="1"/>
  <c r="C621" i="1"/>
  <c r="B621" i="1"/>
  <c r="E620" i="1"/>
  <c r="D620" i="1"/>
  <c r="C620" i="1"/>
  <c r="B620" i="1"/>
  <c r="E619" i="1"/>
  <c r="D619" i="1"/>
  <c r="C619" i="1"/>
  <c r="B619" i="1"/>
  <c r="E618" i="1"/>
  <c r="D618" i="1"/>
  <c r="C618" i="1"/>
  <c r="B618" i="1"/>
  <c r="E617" i="1"/>
  <c r="D617" i="1"/>
  <c r="C617" i="1"/>
  <c r="B617" i="1"/>
  <c r="E616" i="1"/>
  <c r="D616" i="1"/>
  <c r="C616" i="1"/>
  <c r="B616" i="1"/>
  <c r="E615" i="1"/>
  <c r="D615" i="1"/>
  <c r="C615" i="1"/>
  <c r="B615" i="1"/>
  <c r="E614" i="1"/>
  <c r="D614" i="1"/>
  <c r="C614" i="1"/>
  <c r="B614" i="1"/>
  <c r="E613" i="1"/>
  <c r="D613" i="1"/>
  <c r="C613" i="1"/>
  <c r="B613" i="1"/>
  <c r="E612" i="1"/>
  <c r="D612" i="1"/>
  <c r="C612" i="1"/>
  <c r="B612" i="1"/>
  <c r="E611" i="1"/>
  <c r="D611" i="1"/>
  <c r="C611" i="1"/>
  <c r="B611" i="1"/>
  <c r="E610" i="1"/>
  <c r="D610" i="1"/>
  <c r="C610" i="1"/>
  <c r="B610" i="1"/>
  <c r="E609" i="1"/>
  <c r="D609" i="1"/>
  <c r="C609" i="1"/>
  <c r="B609" i="1"/>
  <c r="E608" i="1"/>
  <c r="D608" i="1"/>
  <c r="C608" i="1"/>
  <c r="B608" i="1"/>
  <c r="E607" i="1"/>
  <c r="D607" i="1"/>
  <c r="C607" i="1"/>
  <c r="B607" i="1"/>
  <c r="E606" i="1"/>
  <c r="D606" i="1"/>
  <c r="C606" i="1"/>
  <c r="B606" i="1"/>
  <c r="E605" i="1"/>
  <c r="D605" i="1"/>
  <c r="C605" i="1"/>
  <c r="B605" i="1"/>
  <c r="E604" i="1"/>
  <c r="D604" i="1"/>
  <c r="C604" i="1"/>
  <c r="B604" i="1"/>
  <c r="E603" i="1"/>
  <c r="D603" i="1"/>
  <c r="C603" i="1"/>
  <c r="B603" i="1"/>
  <c r="E602" i="1"/>
  <c r="D602" i="1"/>
  <c r="C602" i="1"/>
  <c r="B602" i="1"/>
  <c r="E601" i="1"/>
  <c r="D601" i="1"/>
  <c r="C601" i="1"/>
  <c r="B601" i="1"/>
  <c r="E600" i="1"/>
  <c r="D600" i="1"/>
  <c r="C600" i="1"/>
  <c r="B600" i="1"/>
  <c r="E599" i="1"/>
  <c r="D599" i="1"/>
  <c r="C599" i="1"/>
  <c r="B599" i="1"/>
  <c r="E598" i="1"/>
  <c r="D598" i="1"/>
  <c r="C598" i="1"/>
  <c r="B598" i="1"/>
  <c r="E597" i="1"/>
  <c r="D597" i="1"/>
  <c r="C597" i="1"/>
  <c r="B597" i="1"/>
  <c r="E596" i="1"/>
  <c r="D596" i="1"/>
  <c r="C596" i="1"/>
  <c r="B596" i="1"/>
  <c r="E595" i="1"/>
  <c r="D595" i="1"/>
  <c r="C595" i="1"/>
  <c r="B595" i="1"/>
  <c r="E594" i="1"/>
  <c r="D594" i="1"/>
  <c r="C594" i="1"/>
  <c r="B594" i="1"/>
  <c r="E593" i="1"/>
  <c r="D593" i="1"/>
  <c r="C593" i="1"/>
  <c r="B593" i="1"/>
  <c r="E592" i="1"/>
  <c r="D592" i="1"/>
  <c r="C592" i="1"/>
  <c r="B592" i="1"/>
  <c r="E591" i="1"/>
  <c r="D591" i="1"/>
  <c r="C591" i="1"/>
  <c r="B591" i="1"/>
  <c r="E590" i="1"/>
  <c r="D590" i="1"/>
  <c r="C590" i="1"/>
  <c r="B590" i="1"/>
  <c r="E589" i="1"/>
  <c r="D589" i="1"/>
  <c r="C589" i="1"/>
  <c r="B589" i="1"/>
  <c r="E588" i="1"/>
  <c r="D588" i="1"/>
  <c r="C588" i="1"/>
  <c r="B588" i="1"/>
  <c r="E587" i="1"/>
  <c r="D587" i="1"/>
  <c r="C587" i="1"/>
  <c r="B587" i="1"/>
  <c r="E586" i="1"/>
  <c r="D586" i="1"/>
  <c r="C586" i="1"/>
  <c r="B586" i="1"/>
  <c r="E585" i="1"/>
  <c r="D585" i="1"/>
  <c r="C585" i="1"/>
  <c r="B585" i="1"/>
  <c r="E584" i="1"/>
  <c r="D584" i="1"/>
  <c r="C584" i="1"/>
  <c r="B584" i="1"/>
  <c r="E583" i="1"/>
  <c r="D583" i="1"/>
  <c r="C583" i="1"/>
  <c r="B583" i="1"/>
  <c r="E582" i="1"/>
  <c r="D582" i="1"/>
  <c r="C582" i="1"/>
  <c r="B582" i="1"/>
  <c r="E581" i="1"/>
  <c r="D581" i="1"/>
  <c r="C581" i="1"/>
  <c r="B581" i="1"/>
  <c r="E580" i="1"/>
  <c r="D580" i="1"/>
  <c r="C580" i="1"/>
  <c r="B580" i="1"/>
  <c r="E579" i="1"/>
  <c r="D579" i="1"/>
  <c r="C579" i="1"/>
  <c r="B579" i="1"/>
  <c r="E578" i="1"/>
  <c r="D578" i="1"/>
  <c r="C578" i="1"/>
  <c r="B578" i="1"/>
  <c r="E577" i="1"/>
  <c r="D577" i="1"/>
  <c r="C577" i="1"/>
  <c r="B577" i="1"/>
  <c r="E576" i="1"/>
  <c r="D576" i="1"/>
  <c r="C576" i="1"/>
  <c r="B576" i="1"/>
  <c r="E575" i="1"/>
  <c r="D575" i="1"/>
  <c r="C575" i="1"/>
  <c r="B575" i="1"/>
  <c r="E574" i="1"/>
  <c r="D574" i="1"/>
  <c r="C574" i="1"/>
  <c r="B574" i="1"/>
  <c r="E573" i="1"/>
  <c r="D573" i="1"/>
  <c r="C573" i="1"/>
  <c r="B573" i="1"/>
  <c r="E572" i="1"/>
  <c r="D572" i="1"/>
  <c r="C572" i="1"/>
  <c r="B572" i="1"/>
  <c r="E571" i="1"/>
  <c r="D571" i="1"/>
  <c r="C571" i="1"/>
  <c r="B571" i="1"/>
  <c r="E570" i="1"/>
  <c r="D570" i="1"/>
  <c r="C570" i="1"/>
  <c r="B570" i="1"/>
  <c r="E569" i="1"/>
  <c r="D569" i="1"/>
  <c r="C569" i="1"/>
  <c r="B569" i="1"/>
  <c r="E568" i="1"/>
  <c r="D568" i="1"/>
  <c r="C568" i="1"/>
  <c r="B568" i="1"/>
  <c r="E567" i="1"/>
  <c r="D567" i="1"/>
  <c r="C567" i="1"/>
  <c r="B567" i="1"/>
  <c r="E566" i="1"/>
  <c r="D566" i="1"/>
  <c r="C566" i="1"/>
  <c r="B566" i="1"/>
  <c r="E565" i="1"/>
  <c r="D565" i="1"/>
  <c r="C565" i="1"/>
  <c r="B565" i="1"/>
  <c r="E564" i="1"/>
  <c r="D564" i="1"/>
  <c r="C564" i="1"/>
  <c r="B564" i="1"/>
  <c r="E563" i="1"/>
  <c r="D563" i="1"/>
  <c r="C563" i="1"/>
  <c r="B563" i="1"/>
  <c r="E562" i="1"/>
  <c r="D562" i="1"/>
  <c r="C562" i="1"/>
  <c r="B562" i="1"/>
  <c r="E561" i="1"/>
  <c r="D561" i="1"/>
  <c r="C561" i="1"/>
  <c r="B561" i="1"/>
  <c r="E560" i="1"/>
  <c r="D560" i="1"/>
  <c r="C560" i="1"/>
  <c r="B560" i="1"/>
  <c r="E559" i="1"/>
  <c r="D559" i="1"/>
  <c r="C559" i="1"/>
  <c r="B559" i="1"/>
  <c r="E558" i="1"/>
  <c r="D558" i="1"/>
  <c r="C558" i="1"/>
  <c r="B558" i="1"/>
  <c r="E557" i="1"/>
  <c r="D557" i="1"/>
  <c r="C557" i="1"/>
  <c r="B557" i="1"/>
  <c r="E556" i="1"/>
  <c r="D556" i="1"/>
  <c r="C556" i="1"/>
  <c r="B556" i="1"/>
  <c r="E555" i="1"/>
  <c r="D555" i="1"/>
  <c r="C555" i="1"/>
  <c r="B555" i="1"/>
  <c r="E554" i="1"/>
  <c r="D554" i="1"/>
  <c r="C554" i="1"/>
  <c r="B554" i="1"/>
  <c r="E553" i="1"/>
  <c r="D553" i="1"/>
  <c r="C553" i="1"/>
  <c r="B553" i="1"/>
  <c r="E552" i="1"/>
  <c r="D552" i="1"/>
  <c r="C552" i="1"/>
  <c r="B552" i="1"/>
  <c r="E551" i="1"/>
  <c r="D551" i="1"/>
  <c r="C551" i="1"/>
  <c r="B551" i="1"/>
  <c r="E550" i="1"/>
  <c r="D550" i="1"/>
  <c r="C550" i="1"/>
  <c r="B550" i="1"/>
  <c r="E549" i="1"/>
  <c r="D549" i="1"/>
  <c r="C549" i="1"/>
  <c r="B549" i="1"/>
  <c r="E548" i="1"/>
  <c r="D548" i="1"/>
  <c r="C548" i="1"/>
  <c r="B548" i="1"/>
  <c r="E547" i="1"/>
  <c r="D547" i="1"/>
  <c r="C547" i="1"/>
  <c r="B547" i="1"/>
  <c r="E546" i="1"/>
  <c r="D546" i="1"/>
  <c r="C546" i="1"/>
  <c r="B546" i="1"/>
  <c r="E545" i="1"/>
  <c r="D545" i="1"/>
  <c r="C545" i="1"/>
  <c r="B545" i="1"/>
  <c r="E544" i="1"/>
  <c r="D544" i="1"/>
  <c r="C544" i="1"/>
  <c r="B544" i="1"/>
  <c r="E543" i="1"/>
  <c r="D543" i="1"/>
  <c r="C543" i="1"/>
  <c r="B543" i="1"/>
  <c r="E542" i="1"/>
  <c r="D542" i="1"/>
  <c r="C542" i="1"/>
  <c r="B542" i="1"/>
  <c r="E541" i="1"/>
  <c r="D541" i="1"/>
  <c r="C541" i="1"/>
  <c r="B541" i="1"/>
  <c r="E540" i="1"/>
  <c r="D540" i="1"/>
  <c r="C540" i="1"/>
  <c r="B540" i="1"/>
  <c r="E539" i="1"/>
  <c r="D539" i="1"/>
  <c r="C539" i="1"/>
  <c r="B539" i="1"/>
  <c r="E538" i="1"/>
  <c r="D538" i="1"/>
  <c r="C538" i="1"/>
  <c r="B538" i="1"/>
  <c r="E537" i="1"/>
  <c r="D537" i="1"/>
  <c r="C537" i="1"/>
  <c r="B537" i="1"/>
  <c r="E536" i="1"/>
  <c r="D536" i="1"/>
  <c r="C536" i="1"/>
  <c r="B536" i="1"/>
  <c r="E535" i="1"/>
  <c r="D535" i="1"/>
  <c r="C535" i="1"/>
  <c r="B535" i="1"/>
  <c r="E534" i="1"/>
  <c r="D534" i="1"/>
  <c r="C534" i="1"/>
  <c r="B534" i="1"/>
  <c r="E533" i="1"/>
  <c r="D533" i="1"/>
  <c r="C533" i="1"/>
  <c r="B533" i="1"/>
  <c r="E532" i="1"/>
  <c r="D532" i="1"/>
  <c r="C532" i="1"/>
  <c r="B532" i="1"/>
  <c r="E531" i="1"/>
  <c r="D531" i="1"/>
  <c r="C531" i="1"/>
  <c r="B531" i="1"/>
  <c r="E530" i="1"/>
  <c r="D530" i="1"/>
  <c r="C530" i="1"/>
  <c r="B530" i="1"/>
  <c r="E529" i="1"/>
  <c r="D529" i="1"/>
  <c r="C529" i="1"/>
  <c r="B529" i="1"/>
  <c r="E528" i="1"/>
  <c r="D528" i="1"/>
  <c r="C528" i="1"/>
  <c r="B528" i="1"/>
  <c r="E527" i="1"/>
  <c r="D527" i="1"/>
  <c r="C527" i="1"/>
  <c r="B527" i="1"/>
  <c r="E526" i="1"/>
  <c r="D526" i="1"/>
  <c r="C526" i="1"/>
  <c r="B526" i="1"/>
  <c r="E525" i="1"/>
  <c r="D525" i="1"/>
  <c r="C525" i="1"/>
  <c r="B525" i="1"/>
  <c r="E524" i="1"/>
  <c r="D524" i="1"/>
  <c r="C524" i="1"/>
  <c r="B524" i="1"/>
  <c r="E523" i="1"/>
  <c r="D523" i="1"/>
  <c r="C523" i="1"/>
  <c r="B523" i="1"/>
  <c r="E522" i="1"/>
  <c r="D522" i="1"/>
  <c r="C522" i="1"/>
  <c r="B522" i="1"/>
  <c r="E521" i="1"/>
  <c r="D521" i="1"/>
  <c r="C521" i="1"/>
  <c r="B521" i="1"/>
  <c r="E520" i="1"/>
  <c r="D520" i="1"/>
  <c r="C520" i="1"/>
  <c r="B520" i="1"/>
  <c r="E519" i="1"/>
  <c r="D519" i="1"/>
  <c r="C519" i="1"/>
  <c r="B519" i="1"/>
  <c r="E518" i="1"/>
  <c r="D518" i="1"/>
  <c r="C518" i="1"/>
  <c r="B518" i="1"/>
  <c r="E517" i="1"/>
  <c r="D517" i="1"/>
  <c r="C517" i="1"/>
  <c r="B517" i="1"/>
  <c r="E516" i="1"/>
  <c r="D516" i="1"/>
  <c r="C516" i="1"/>
  <c r="B516" i="1"/>
  <c r="E515" i="1"/>
  <c r="D515" i="1"/>
  <c r="C515" i="1"/>
  <c r="B515" i="1"/>
  <c r="E514" i="1"/>
  <c r="D514" i="1"/>
  <c r="C514" i="1"/>
  <c r="B514" i="1"/>
  <c r="E513" i="1"/>
  <c r="D513" i="1"/>
  <c r="C513" i="1"/>
  <c r="B513" i="1"/>
  <c r="E512" i="1"/>
  <c r="D512" i="1"/>
  <c r="C512" i="1"/>
  <c r="B512" i="1"/>
  <c r="E511" i="1"/>
  <c r="D511" i="1"/>
  <c r="C511" i="1"/>
  <c r="B511" i="1"/>
  <c r="E510" i="1"/>
  <c r="D510" i="1"/>
  <c r="C510" i="1"/>
  <c r="B510" i="1"/>
  <c r="E509" i="1"/>
  <c r="D509" i="1"/>
  <c r="C509" i="1"/>
  <c r="B509" i="1"/>
  <c r="E508" i="1"/>
  <c r="D508" i="1"/>
  <c r="C508" i="1"/>
  <c r="B508" i="1"/>
  <c r="E507" i="1"/>
  <c r="D507" i="1"/>
  <c r="C507" i="1"/>
  <c r="B507" i="1"/>
  <c r="E506" i="1"/>
  <c r="D506" i="1"/>
  <c r="C506" i="1"/>
  <c r="B506" i="1"/>
  <c r="E505" i="1"/>
  <c r="D505" i="1"/>
  <c r="C505" i="1"/>
  <c r="B505" i="1"/>
  <c r="E504" i="1"/>
  <c r="D504" i="1"/>
  <c r="C504" i="1"/>
  <c r="B504" i="1"/>
  <c r="E503" i="1"/>
  <c r="D503" i="1"/>
  <c r="C503" i="1"/>
  <c r="B503" i="1"/>
  <c r="E502" i="1"/>
  <c r="D502" i="1"/>
  <c r="C502" i="1"/>
  <c r="B502" i="1"/>
  <c r="E501" i="1"/>
  <c r="D501" i="1"/>
  <c r="C501" i="1"/>
  <c r="B501" i="1"/>
  <c r="E500" i="1"/>
  <c r="D500" i="1"/>
  <c r="C500" i="1"/>
  <c r="B500" i="1"/>
  <c r="E499" i="1"/>
  <c r="D499" i="1"/>
  <c r="C499" i="1"/>
  <c r="B499" i="1"/>
  <c r="E498" i="1"/>
  <c r="D498" i="1"/>
  <c r="C498" i="1"/>
  <c r="B498" i="1"/>
  <c r="E497" i="1"/>
  <c r="D497" i="1"/>
  <c r="C497" i="1"/>
  <c r="B497" i="1"/>
  <c r="E496" i="1"/>
  <c r="D496" i="1"/>
  <c r="C496" i="1"/>
  <c r="B496" i="1"/>
  <c r="E495" i="1"/>
  <c r="D495" i="1"/>
  <c r="C495" i="1"/>
  <c r="B495" i="1"/>
  <c r="E494" i="1"/>
  <c r="D494" i="1"/>
  <c r="C494" i="1"/>
  <c r="B494" i="1"/>
  <c r="E493" i="1"/>
  <c r="D493" i="1"/>
  <c r="C493" i="1"/>
  <c r="B493" i="1"/>
  <c r="E492" i="1"/>
  <c r="D492" i="1"/>
  <c r="C492" i="1"/>
  <c r="B492" i="1"/>
  <c r="E491" i="1"/>
  <c r="D491" i="1"/>
  <c r="C491" i="1"/>
  <c r="B491" i="1"/>
  <c r="E490" i="1"/>
  <c r="D490" i="1"/>
  <c r="C490" i="1"/>
  <c r="B490" i="1"/>
  <c r="E489" i="1"/>
  <c r="D489" i="1"/>
  <c r="C489" i="1"/>
  <c r="B489" i="1"/>
  <c r="E488" i="1"/>
  <c r="D488" i="1"/>
  <c r="C488" i="1"/>
  <c r="B488" i="1"/>
  <c r="E487" i="1"/>
  <c r="D487" i="1"/>
  <c r="C487" i="1"/>
  <c r="B487" i="1"/>
  <c r="E486" i="1"/>
  <c r="D486" i="1"/>
  <c r="C486" i="1"/>
  <c r="B486" i="1"/>
  <c r="E485" i="1"/>
  <c r="D485" i="1"/>
  <c r="C485" i="1"/>
  <c r="B485" i="1"/>
  <c r="E484" i="1"/>
  <c r="D484" i="1"/>
  <c r="C484" i="1"/>
  <c r="B484" i="1"/>
  <c r="E483" i="1"/>
  <c r="D483" i="1"/>
  <c r="C483" i="1"/>
  <c r="B483" i="1"/>
  <c r="E482" i="1"/>
  <c r="D482" i="1"/>
  <c r="C482" i="1"/>
  <c r="B482" i="1"/>
  <c r="E481" i="1"/>
  <c r="D481" i="1"/>
  <c r="C481" i="1"/>
  <c r="B481" i="1"/>
  <c r="E480" i="1"/>
  <c r="D480" i="1"/>
  <c r="C480" i="1"/>
  <c r="B480" i="1"/>
  <c r="E479" i="1"/>
  <c r="D479" i="1"/>
  <c r="C479" i="1"/>
  <c r="B479" i="1"/>
  <c r="E478" i="1"/>
  <c r="D478" i="1"/>
  <c r="C478" i="1"/>
  <c r="B478" i="1"/>
  <c r="E477" i="1"/>
  <c r="D477" i="1"/>
  <c r="C477" i="1"/>
  <c r="B477" i="1"/>
  <c r="E476" i="1"/>
  <c r="D476" i="1"/>
  <c r="C476" i="1"/>
  <c r="B476" i="1"/>
  <c r="E475" i="1"/>
  <c r="D475" i="1"/>
  <c r="C475" i="1"/>
  <c r="B475" i="1"/>
  <c r="E474" i="1"/>
  <c r="D474" i="1"/>
  <c r="C474" i="1"/>
  <c r="B474" i="1"/>
  <c r="E473" i="1"/>
  <c r="D473" i="1"/>
  <c r="C473" i="1"/>
  <c r="B473" i="1"/>
  <c r="E472" i="1"/>
  <c r="D472" i="1"/>
  <c r="C472" i="1"/>
  <c r="B472" i="1"/>
  <c r="E471" i="1"/>
  <c r="D471" i="1"/>
  <c r="C471" i="1"/>
  <c r="B471" i="1"/>
  <c r="E470" i="1"/>
  <c r="D470" i="1"/>
  <c r="C470" i="1"/>
  <c r="B470" i="1"/>
  <c r="E469" i="1"/>
  <c r="D469" i="1"/>
  <c r="C469" i="1"/>
  <c r="B469" i="1"/>
  <c r="E468" i="1"/>
  <c r="D468" i="1"/>
  <c r="C468" i="1"/>
  <c r="B468" i="1"/>
  <c r="E467" i="1"/>
  <c r="D467" i="1"/>
  <c r="C467" i="1"/>
  <c r="B467" i="1"/>
  <c r="E466" i="1"/>
  <c r="D466" i="1"/>
  <c r="C466" i="1"/>
  <c r="B466" i="1"/>
  <c r="E465" i="1"/>
  <c r="D465" i="1"/>
  <c r="C465" i="1"/>
  <c r="B465" i="1"/>
  <c r="E464" i="1"/>
  <c r="D464" i="1"/>
  <c r="C464" i="1"/>
  <c r="B464" i="1"/>
  <c r="E463" i="1"/>
  <c r="D463" i="1"/>
  <c r="C463" i="1"/>
  <c r="B463" i="1"/>
  <c r="E462" i="1"/>
  <c r="D462" i="1"/>
  <c r="C462" i="1"/>
  <c r="B462" i="1"/>
  <c r="E461" i="1"/>
  <c r="D461" i="1"/>
  <c r="C461" i="1"/>
  <c r="B461" i="1"/>
  <c r="E460" i="1"/>
  <c r="D460" i="1"/>
  <c r="C460" i="1"/>
  <c r="B460" i="1"/>
  <c r="E459" i="1"/>
  <c r="D459" i="1"/>
  <c r="C459" i="1"/>
  <c r="B459" i="1"/>
  <c r="E458" i="1"/>
  <c r="D458" i="1"/>
  <c r="C458" i="1"/>
  <c r="B458" i="1"/>
  <c r="E457" i="1"/>
  <c r="D457" i="1"/>
  <c r="C457" i="1"/>
  <c r="B457" i="1"/>
  <c r="E456" i="1"/>
  <c r="D456" i="1"/>
  <c r="C456" i="1"/>
  <c r="B456" i="1"/>
  <c r="E455" i="1"/>
  <c r="D455" i="1"/>
  <c r="C455" i="1"/>
  <c r="B455" i="1"/>
  <c r="E454" i="1"/>
  <c r="D454" i="1"/>
  <c r="C454" i="1"/>
  <c r="B454" i="1"/>
  <c r="E453" i="1"/>
  <c r="D453" i="1"/>
  <c r="C453" i="1"/>
  <c r="B453" i="1"/>
  <c r="E452" i="1"/>
  <c r="D452" i="1"/>
  <c r="C452" i="1"/>
  <c r="B452" i="1"/>
  <c r="E451" i="1"/>
  <c r="D451" i="1"/>
  <c r="C451" i="1"/>
  <c r="B451" i="1"/>
  <c r="E450" i="1"/>
  <c r="D450" i="1"/>
  <c r="C450" i="1"/>
  <c r="B450" i="1"/>
  <c r="E449" i="1"/>
  <c r="D449" i="1"/>
  <c r="C449" i="1"/>
  <c r="B449" i="1"/>
  <c r="E448" i="1"/>
  <c r="D448" i="1"/>
  <c r="C448" i="1"/>
  <c r="B448" i="1"/>
  <c r="E447" i="1"/>
  <c r="D447" i="1"/>
  <c r="C447" i="1"/>
  <c r="B447" i="1"/>
  <c r="E446" i="1"/>
  <c r="D446" i="1"/>
  <c r="C446" i="1"/>
  <c r="B446" i="1"/>
  <c r="E445" i="1"/>
  <c r="D445" i="1"/>
  <c r="C445" i="1"/>
  <c r="B445" i="1"/>
  <c r="E444" i="1"/>
  <c r="D444" i="1"/>
  <c r="C444" i="1"/>
  <c r="B444" i="1"/>
  <c r="E443" i="1"/>
  <c r="D443" i="1"/>
  <c r="C443" i="1"/>
  <c r="B443" i="1"/>
  <c r="E442" i="1"/>
  <c r="D442" i="1"/>
  <c r="C442" i="1"/>
  <c r="B442" i="1"/>
  <c r="E441" i="1"/>
  <c r="D441" i="1"/>
  <c r="C441" i="1"/>
  <c r="B441" i="1"/>
  <c r="E440" i="1"/>
  <c r="D440" i="1"/>
  <c r="C440" i="1"/>
  <c r="B440" i="1"/>
  <c r="E439" i="1"/>
  <c r="D439" i="1"/>
  <c r="C439" i="1"/>
  <c r="B439" i="1"/>
  <c r="E438" i="1"/>
  <c r="D438" i="1"/>
  <c r="C438" i="1"/>
  <c r="B438" i="1"/>
  <c r="E437" i="1"/>
  <c r="D437" i="1"/>
  <c r="C437" i="1"/>
  <c r="B437" i="1"/>
  <c r="E436" i="1"/>
  <c r="D436" i="1"/>
  <c r="C436" i="1"/>
  <c r="B436" i="1"/>
  <c r="E435" i="1"/>
  <c r="D435" i="1"/>
  <c r="C435" i="1"/>
  <c r="B435" i="1"/>
  <c r="E434" i="1"/>
  <c r="D434" i="1"/>
  <c r="C434" i="1"/>
  <c r="B434" i="1"/>
  <c r="E433" i="1"/>
  <c r="D433" i="1"/>
  <c r="C433" i="1"/>
  <c r="B433" i="1"/>
  <c r="E432" i="1"/>
  <c r="D432" i="1"/>
  <c r="C432" i="1"/>
  <c r="B432" i="1"/>
  <c r="E431" i="1"/>
  <c r="D431" i="1"/>
  <c r="C431" i="1"/>
  <c r="B431" i="1"/>
  <c r="E430" i="1"/>
  <c r="D430" i="1"/>
  <c r="C430" i="1"/>
  <c r="B430" i="1"/>
  <c r="E429" i="1"/>
  <c r="D429" i="1"/>
  <c r="C429" i="1"/>
  <c r="B429" i="1"/>
  <c r="E428" i="1"/>
  <c r="D428" i="1"/>
  <c r="C428" i="1"/>
  <c r="B428" i="1"/>
  <c r="E427" i="1"/>
  <c r="D427" i="1"/>
  <c r="C427" i="1"/>
  <c r="B427" i="1"/>
  <c r="E426" i="1"/>
  <c r="D426" i="1"/>
  <c r="C426" i="1"/>
  <c r="B426" i="1"/>
  <c r="E425" i="1"/>
  <c r="D425" i="1"/>
  <c r="C425" i="1"/>
  <c r="B425" i="1"/>
  <c r="E424" i="1"/>
  <c r="D424" i="1"/>
  <c r="C424" i="1"/>
  <c r="B424" i="1"/>
  <c r="E423" i="1"/>
  <c r="D423" i="1"/>
  <c r="C423" i="1"/>
  <c r="B423" i="1"/>
  <c r="E422" i="1"/>
  <c r="D422" i="1"/>
  <c r="C422" i="1"/>
  <c r="B422" i="1"/>
  <c r="E421" i="1"/>
  <c r="D421" i="1"/>
  <c r="C421" i="1"/>
  <c r="B421" i="1"/>
  <c r="E420" i="1"/>
  <c r="D420" i="1"/>
  <c r="C420" i="1"/>
  <c r="B420" i="1"/>
  <c r="E419" i="1"/>
  <c r="D419" i="1"/>
  <c r="C419" i="1"/>
  <c r="B419" i="1"/>
  <c r="E418" i="1"/>
  <c r="D418" i="1"/>
  <c r="C418" i="1"/>
  <c r="B418" i="1"/>
  <c r="E417" i="1"/>
  <c r="D417" i="1"/>
  <c r="C417" i="1"/>
  <c r="B417" i="1"/>
  <c r="E416" i="1"/>
  <c r="D416" i="1"/>
  <c r="C416" i="1"/>
  <c r="B416" i="1"/>
  <c r="E415" i="1"/>
  <c r="D415" i="1"/>
  <c r="C415" i="1"/>
  <c r="B415" i="1"/>
  <c r="E414" i="1"/>
  <c r="D414" i="1"/>
  <c r="C414" i="1"/>
  <c r="B414" i="1"/>
  <c r="E413" i="1"/>
  <c r="D413" i="1"/>
  <c r="C413" i="1"/>
  <c r="B413" i="1"/>
  <c r="E412" i="1"/>
  <c r="D412" i="1"/>
  <c r="C412" i="1"/>
  <c r="B412" i="1"/>
  <c r="E411" i="1"/>
  <c r="D411" i="1"/>
  <c r="C411" i="1"/>
  <c r="B411" i="1"/>
  <c r="E410" i="1"/>
  <c r="D410" i="1"/>
  <c r="C410" i="1"/>
  <c r="B410" i="1"/>
  <c r="E409" i="1"/>
  <c r="D409" i="1"/>
  <c r="C409" i="1"/>
  <c r="B409" i="1"/>
  <c r="E408" i="1"/>
  <c r="D408" i="1"/>
  <c r="C408" i="1"/>
  <c r="B408" i="1"/>
  <c r="E407" i="1"/>
  <c r="D407" i="1"/>
  <c r="C407" i="1"/>
  <c r="B407" i="1"/>
  <c r="E406" i="1"/>
  <c r="D406" i="1"/>
  <c r="C406" i="1"/>
  <c r="B406" i="1"/>
  <c r="E405" i="1"/>
  <c r="D405" i="1"/>
  <c r="C405" i="1"/>
  <c r="B405" i="1"/>
  <c r="E404" i="1"/>
  <c r="D404" i="1"/>
  <c r="C404" i="1"/>
  <c r="B404" i="1"/>
  <c r="E403" i="1"/>
  <c r="D403" i="1"/>
  <c r="C403" i="1"/>
  <c r="B403" i="1"/>
  <c r="E402" i="1"/>
  <c r="D402" i="1"/>
  <c r="C402" i="1"/>
  <c r="B402" i="1"/>
  <c r="E401" i="1"/>
  <c r="D401" i="1"/>
  <c r="C401" i="1"/>
  <c r="B401" i="1"/>
  <c r="E400" i="1"/>
  <c r="D400" i="1"/>
  <c r="C400" i="1"/>
  <c r="B400" i="1"/>
  <c r="E399" i="1"/>
  <c r="D399" i="1"/>
  <c r="C399" i="1"/>
  <c r="B399" i="1"/>
  <c r="E398" i="1"/>
  <c r="D398" i="1"/>
  <c r="C398" i="1"/>
  <c r="B398" i="1"/>
  <c r="E397" i="1"/>
  <c r="D397" i="1"/>
  <c r="C397" i="1"/>
  <c r="B397" i="1"/>
  <c r="E396" i="1"/>
  <c r="D396" i="1"/>
  <c r="C396" i="1"/>
  <c r="B396" i="1"/>
  <c r="E395" i="1"/>
  <c r="D395" i="1"/>
  <c r="C395" i="1"/>
  <c r="B395" i="1"/>
  <c r="E394" i="1"/>
  <c r="D394" i="1"/>
  <c r="C394" i="1"/>
  <c r="B394" i="1"/>
  <c r="E393" i="1"/>
  <c r="D393" i="1"/>
  <c r="C393" i="1"/>
  <c r="B393" i="1"/>
  <c r="E392" i="1"/>
  <c r="D392" i="1"/>
  <c r="C392" i="1"/>
  <c r="B392" i="1"/>
  <c r="E391" i="1"/>
  <c r="D391" i="1"/>
  <c r="C391" i="1"/>
  <c r="B391" i="1"/>
  <c r="E390" i="1"/>
  <c r="D390" i="1"/>
  <c r="C390" i="1"/>
  <c r="B390" i="1"/>
  <c r="E389" i="1"/>
  <c r="D389" i="1"/>
  <c r="C389" i="1"/>
  <c r="B389" i="1"/>
  <c r="E388" i="1"/>
  <c r="D388" i="1"/>
  <c r="C388" i="1"/>
  <c r="B388" i="1"/>
  <c r="E387" i="1"/>
  <c r="D387" i="1"/>
  <c r="C387" i="1"/>
  <c r="B387" i="1"/>
  <c r="E386" i="1"/>
  <c r="D386" i="1"/>
  <c r="C386" i="1"/>
  <c r="B386" i="1"/>
  <c r="E385" i="1"/>
  <c r="D385" i="1"/>
  <c r="C385" i="1"/>
  <c r="B385" i="1"/>
  <c r="E384" i="1"/>
  <c r="D384" i="1"/>
  <c r="C384" i="1"/>
  <c r="B384" i="1"/>
  <c r="E383" i="1"/>
  <c r="D383" i="1"/>
  <c r="C383" i="1"/>
  <c r="B383" i="1"/>
  <c r="E382" i="1"/>
  <c r="D382" i="1"/>
  <c r="C382" i="1"/>
  <c r="B382" i="1"/>
  <c r="E381" i="1"/>
  <c r="D381" i="1"/>
  <c r="C381" i="1"/>
  <c r="B381" i="1"/>
  <c r="E380" i="1"/>
  <c r="D380" i="1"/>
  <c r="C380" i="1"/>
  <c r="B380" i="1"/>
  <c r="E379" i="1"/>
  <c r="D379" i="1"/>
  <c r="C379" i="1"/>
  <c r="B379" i="1"/>
  <c r="E378" i="1"/>
  <c r="D378" i="1"/>
  <c r="C378" i="1"/>
  <c r="B378" i="1"/>
  <c r="E377" i="1"/>
  <c r="D377" i="1"/>
  <c r="C377" i="1"/>
  <c r="B377" i="1"/>
  <c r="E376" i="1"/>
  <c r="D376" i="1"/>
  <c r="C376" i="1"/>
  <c r="B376" i="1"/>
  <c r="E375" i="1"/>
  <c r="D375" i="1"/>
  <c r="C375" i="1"/>
  <c r="B375" i="1"/>
  <c r="E374" i="1"/>
  <c r="D374" i="1"/>
  <c r="C374" i="1"/>
  <c r="B374" i="1"/>
  <c r="E373" i="1"/>
  <c r="D373" i="1"/>
  <c r="C373" i="1"/>
  <c r="B373" i="1"/>
  <c r="E372" i="1"/>
  <c r="D372" i="1"/>
  <c r="C372" i="1"/>
  <c r="B372" i="1"/>
  <c r="E371" i="1"/>
  <c r="D371" i="1"/>
  <c r="C371" i="1"/>
  <c r="B371" i="1"/>
  <c r="E370" i="1"/>
  <c r="D370" i="1"/>
  <c r="C370" i="1"/>
  <c r="B370" i="1"/>
  <c r="E369" i="1"/>
  <c r="D369" i="1"/>
  <c r="C369" i="1"/>
  <c r="B369" i="1"/>
  <c r="E368" i="1"/>
  <c r="D368" i="1"/>
  <c r="C368" i="1"/>
  <c r="B368" i="1"/>
  <c r="E367" i="1"/>
  <c r="D367" i="1"/>
  <c r="C367" i="1"/>
  <c r="B367" i="1"/>
  <c r="E366" i="1"/>
  <c r="D366" i="1"/>
  <c r="C366" i="1"/>
  <c r="B366" i="1"/>
  <c r="E365" i="1"/>
  <c r="D365" i="1"/>
  <c r="C365" i="1"/>
  <c r="B365" i="1"/>
  <c r="E364" i="1"/>
  <c r="D364" i="1"/>
  <c r="C364" i="1"/>
  <c r="B364" i="1"/>
  <c r="E363" i="1"/>
  <c r="D363" i="1"/>
  <c r="C363" i="1"/>
  <c r="B363" i="1"/>
  <c r="E362" i="1"/>
  <c r="D362" i="1"/>
  <c r="C362" i="1"/>
  <c r="B362" i="1"/>
  <c r="E361" i="1"/>
  <c r="D361" i="1"/>
  <c r="C361" i="1"/>
  <c r="B361" i="1"/>
  <c r="E360" i="1"/>
  <c r="D360" i="1"/>
  <c r="C360" i="1"/>
  <c r="B360" i="1"/>
  <c r="E359" i="1"/>
  <c r="D359" i="1"/>
  <c r="C359" i="1"/>
  <c r="B359" i="1"/>
  <c r="E358" i="1"/>
  <c r="D358" i="1"/>
  <c r="C358" i="1"/>
  <c r="B358" i="1"/>
  <c r="E357" i="1"/>
  <c r="D357" i="1"/>
  <c r="C357" i="1"/>
  <c r="B357" i="1"/>
  <c r="E356" i="1"/>
  <c r="D356" i="1"/>
  <c r="C356" i="1"/>
  <c r="B356" i="1"/>
  <c r="E355" i="1"/>
  <c r="D355" i="1"/>
  <c r="C355" i="1"/>
  <c r="B355" i="1"/>
  <c r="E354" i="1"/>
  <c r="D354" i="1"/>
  <c r="C354" i="1"/>
  <c r="B354" i="1"/>
  <c r="E353" i="1"/>
  <c r="D353" i="1"/>
  <c r="C353" i="1"/>
  <c r="B353" i="1"/>
  <c r="E352" i="1"/>
  <c r="D352" i="1"/>
  <c r="C352" i="1"/>
  <c r="B352" i="1"/>
  <c r="E351" i="1"/>
  <c r="D351" i="1"/>
  <c r="C351" i="1"/>
  <c r="B351" i="1"/>
  <c r="E350" i="1"/>
  <c r="D350" i="1"/>
  <c r="C350" i="1"/>
  <c r="B350" i="1"/>
  <c r="E349" i="1"/>
  <c r="D349" i="1"/>
  <c r="C349" i="1"/>
  <c r="B349" i="1"/>
  <c r="E348" i="1"/>
  <c r="D348" i="1"/>
  <c r="C348" i="1"/>
  <c r="B348" i="1"/>
  <c r="E347" i="1"/>
  <c r="D347" i="1"/>
  <c r="C347" i="1"/>
  <c r="B347" i="1"/>
  <c r="E346" i="1"/>
  <c r="D346" i="1"/>
  <c r="C346" i="1"/>
  <c r="B346" i="1"/>
  <c r="E345" i="1"/>
  <c r="D345" i="1"/>
  <c r="C345" i="1"/>
  <c r="B345" i="1"/>
  <c r="E344" i="1"/>
  <c r="D344" i="1"/>
  <c r="C344" i="1"/>
  <c r="B344" i="1"/>
  <c r="E343" i="1"/>
  <c r="D343" i="1"/>
  <c r="C343" i="1"/>
  <c r="B343" i="1"/>
  <c r="E342" i="1"/>
  <c r="D342" i="1"/>
  <c r="C342" i="1"/>
  <c r="B342" i="1"/>
  <c r="E341" i="1"/>
  <c r="D341" i="1"/>
  <c r="C341" i="1"/>
  <c r="B341" i="1"/>
  <c r="E340" i="1"/>
  <c r="D340" i="1"/>
  <c r="C340" i="1"/>
  <c r="B340" i="1"/>
  <c r="E339" i="1"/>
  <c r="D339" i="1"/>
  <c r="C339" i="1"/>
  <c r="B339" i="1"/>
  <c r="E338" i="1"/>
  <c r="D338" i="1"/>
  <c r="C338" i="1"/>
  <c r="B338" i="1"/>
  <c r="E337" i="1"/>
  <c r="D337" i="1"/>
  <c r="C337" i="1"/>
  <c r="B337" i="1"/>
  <c r="E336" i="1"/>
  <c r="D336" i="1"/>
  <c r="C336" i="1"/>
  <c r="B336" i="1"/>
  <c r="E335" i="1"/>
  <c r="D335" i="1"/>
  <c r="C335" i="1"/>
  <c r="B335" i="1"/>
  <c r="E334" i="1"/>
  <c r="D334" i="1"/>
  <c r="C334" i="1"/>
  <c r="B334" i="1"/>
  <c r="E333" i="1"/>
  <c r="D333" i="1"/>
  <c r="C333" i="1"/>
  <c r="B333" i="1"/>
  <c r="E332" i="1"/>
  <c r="D332" i="1"/>
  <c r="C332" i="1"/>
  <c r="B332" i="1"/>
  <c r="E331" i="1"/>
  <c r="D331" i="1"/>
  <c r="C331" i="1"/>
  <c r="B331" i="1"/>
  <c r="E330" i="1"/>
  <c r="D330" i="1"/>
  <c r="C330" i="1"/>
  <c r="B330" i="1"/>
  <c r="E329" i="1"/>
  <c r="D329" i="1"/>
  <c r="C329" i="1"/>
  <c r="B329" i="1"/>
  <c r="E328" i="1"/>
  <c r="D328" i="1"/>
  <c r="C328" i="1"/>
  <c r="B328" i="1"/>
  <c r="E327" i="1"/>
  <c r="D327" i="1"/>
  <c r="C327" i="1"/>
  <c r="B327" i="1"/>
  <c r="E326" i="1"/>
  <c r="D326" i="1"/>
  <c r="C326" i="1"/>
  <c r="B326" i="1"/>
  <c r="E325" i="1"/>
  <c r="D325" i="1"/>
  <c r="C325" i="1"/>
  <c r="B325" i="1"/>
  <c r="E324" i="1"/>
  <c r="D324" i="1"/>
  <c r="C324" i="1"/>
  <c r="B324" i="1"/>
  <c r="E323" i="1"/>
  <c r="D323" i="1"/>
  <c r="C323" i="1"/>
  <c r="B323" i="1"/>
  <c r="E322" i="1"/>
  <c r="D322" i="1"/>
  <c r="C322" i="1"/>
  <c r="B322" i="1"/>
  <c r="E321" i="1"/>
  <c r="D321" i="1"/>
  <c r="C321" i="1"/>
  <c r="B321" i="1"/>
  <c r="E320" i="1"/>
  <c r="D320" i="1"/>
  <c r="C320" i="1"/>
  <c r="B320" i="1"/>
  <c r="E319" i="1"/>
  <c r="D319" i="1"/>
  <c r="C319" i="1"/>
  <c r="B319" i="1"/>
  <c r="E318" i="1"/>
  <c r="D318" i="1"/>
  <c r="C318" i="1"/>
  <c r="B318" i="1"/>
  <c r="E317" i="1"/>
  <c r="D317" i="1"/>
  <c r="C317" i="1"/>
  <c r="B317" i="1"/>
  <c r="E316" i="1"/>
  <c r="D316" i="1"/>
  <c r="C316" i="1"/>
  <c r="B316" i="1"/>
  <c r="E315" i="1"/>
  <c r="D315" i="1"/>
  <c r="C315" i="1"/>
  <c r="B315" i="1"/>
  <c r="E314" i="1"/>
  <c r="D314" i="1"/>
  <c r="C314" i="1"/>
  <c r="B314" i="1"/>
  <c r="E313" i="1"/>
  <c r="D313" i="1"/>
  <c r="C313" i="1"/>
  <c r="B313" i="1"/>
  <c r="E312" i="1"/>
  <c r="D312" i="1"/>
  <c r="C312" i="1"/>
  <c r="B312" i="1"/>
  <c r="E311" i="1"/>
  <c r="D311" i="1"/>
  <c r="C311" i="1"/>
  <c r="B311" i="1"/>
  <c r="E310" i="1"/>
  <c r="D310" i="1"/>
  <c r="C310" i="1"/>
  <c r="B310" i="1"/>
  <c r="E309" i="1"/>
  <c r="D309" i="1"/>
  <c r="C309" i="1"/>
  <c r="B309" i="1"/>
  <c r="E308" i="1"/>
  <c r="D308" i="1"/>
  <c r="C308" i="1"/>
  <c r="B308" i="1"/>
  <c r="E307" i="1"/>
  <c r="D307" i="1"/>
  <c r="C307" i="1"/>
  <c r="B307" i="1"/>
  <c r="E306" i="1"/>
  <c r="D306" i="1"/>
  <c r="C306" i="1"/>
  <c r="B306" i="1"/>
  <c r="E305" i="1"/>
  <c r="D305" i="1"/>
  <c r="C305" i="1"/>
  <c r="B305" i="1"/>
  <c r="E304" i="1"/>
  <c r="D304" i="1"/>
  <c r="C304" i="1"/>
  <c r="B304" i="1"/>
  <c r="E303" i="1"/>
  <c r="D303" i="1"/>
  <c r="C303" i="1"/>
  <c r="B303" i="1"/>
  <c r="E302" i="1"/>
  <c r="D302" i="1"/>
  <c r="C302" i="1"/>
  <c r="B302" i="1"/>
  <c r="E301" i="1"/>
  <c r="D301" i="1"/>
  <c r="C301" i="1"/>
  <c r="B301" i="1"/>
  <c r="E300" i="1"/>
  <c r="D300" i="1"/>
  <c r="C300" i="1"/>
  <c r="B300" i="1"/>
  <c r="E299" i="1"/>
  <c r="D299" i="1"/>
  <c r="C299" i="1"/>
  <c r="B299" i="1"/>
  <c r="E298" i="1"/>
  <c r="D298" i="1"/>
  <c r="C298" i="1"/>
  <c r="B298" i="1"/>
  <c r="E297" i="1"/>
  <c r="D297" i="1"/>
  <c r="C297" i="1"/>
  <c r="B297" i="1"/>
  <c r="E296" i="1"/>
  <c r="D296" i="1"/>
  <c r="C296" i="1"/>
  <c r="B296" i="1"/>
  <c r="E295" i="1"/>
  <c r="D295" i="1"/>
  <c r="C295" i="1"/>
  <c r="B295" i="1"/>
  <c r="E294" i="1"/>
  <c r="D294" i="1"/>
  <c r="C294" i="1"/>
  <c r="B294" i="1"/>
  <c r="E293" i="1"/>
  <c r="D293" i="1"/>
  <c r="C293" i="1"/>
  <c r="B293" i="1"/>
  <c r="E292" i="1"/>
  <c r="D292" i="1"/>
  <c r="C292" i="1"/>
  <c r="B292" i="1"/>
  <c r="E291" i="1"/>
  <c r="D291" i="1"/>
  <c r="C291" i="1"/>
  <c r="B291" i="1"/>
  <c r="E290" i="1"/>
  <c r="D290" i="1"/>
  <c r="C290" i="1"/>
  <c r="B290" i="1"/>
  <c r="E289" i="1"/>
  <c r="D289" i="1"/>
  <c r="C289" i="1"/>
  <c r="B289" i="1"/>
  <c r="E288" i="1"/>
  <c r="D288" i="1"/>
  <c r="C288" i="1"/>
  <c r="B288" i="1"/>
  <c r="E287" i="1"/>
  <c r="D287" i="1"/>
  <c r="C287" i="1"/>
  <c r="B287" i="1"/>
  <c r="E286" i="1"/>
  <c r="D286" i="1"/>
  <c r="C286" i="1"/>
  <c r="B286" i="1"/>
  <c r="E285" i="1"/>
  <c r="D285" i="1"/>
  <c r="C285" i="1"/>
  <c r="B285" i="1"/>
  <c r="E284" i="1"/>
  <c r="D284" i="1"/>
  <c r="C284" i="1"/>
  <c r="B284" i="1"/>
  <c r="E283" i="1"/>
  <c r="D283" i="1"/>
  <c r="C283" i="1"/>
  <c r="B283" i="1"/>
  <c r="E282" i="1"/>
  <c r="D282" i="1"/>
  <c r="C282" i="1"/>
  <c r="B282" i="1"/>
  <c r="E281" i="1"/>
  <c r="D281" i="1"/>
  <c r="C281" i="1"/>
  <c r="B281" i="1"/>
  <c r="E280" i="1"/>
  <c r="D280" i="1"/>
  <c r="C280" i="1"/>
  <c r="B280" i="1"/>
  <c r="E279" i="1"/>
  <c r="D279" i="1"/>
  <c r="C279" i="1"/>
  <c r="B279" i="1"/>
  <c r="E278" i="1"/>
  <c r="D278" i="1"/>
  <c r="C278" i="1"/>
  <c r="B278" i="1"/>
  <c r="E277" i="1"/>
  <c r="D277" i="1"/>
  <c r="C277" i="1"/>
  <c r="B277" i="1"/>
  <c r="E276" i="1"/>
  <c r="D276" i="1"/>
  <c r="C276" i="1"/>
  <c r="B276" i="1"/>
  <c r="E275" i="1"/>
  <c r="D275" i="1"/>
  <c r="C275" i="1"/>
  <c r="B275" i="1"/>
  <c r="E274" i="1"/>
  <c r="D274" i="1"/>
  <c r="C274" i="1"/>
  <c r="B274" i="1"/>
  <c r="E273" i="1"/>
  <c r="D273" i="1"/>
  <c r="C273" i="1"/>
  <c r="B273" i="1"/>
  <c r="E272" i="1"/>
  <c r="D272" i="1"/>
  <c r="C272" i="1"/>
  <c r="B272" i="1"/>
  <c r="E271" i="1"/>
  <c r="D271" i="1"/>
  <c r="C271" i="1"/>
  <c r="B271" i="1"/>
  <c r="E270" i="1"/>
  <c r="D270" i="1"/>
  <c r="C270" i="1"/>
  <c r="B270" i="1"/>
  <c r="E269" i="1"/>
  <c r="D269" i="1"/>
  <c r="C269" i="1"/>
  <c r="B269" i="1"/>
  <c r="E268" i="1"/>
  <c r="D268" i="1"/>
  <c r="C268" i="1"/>
  <c r="B268" i="1"/>
  <c r="E267" i="1"/>
  <c r="D267" i="1"/>
  <c r="C267" i="1"/>
  <c r="B267" i="1"/>
  <c r="E266" i="1"/>
  <c r="D266" i="1"/>
  <c r="C266" i="1"/>
  <c r="B266" i="1"/>
  <c r="E265" i="1"/>
  <c r="D265" i="1"/>
  <c r="C265" i="1"/>
  <c r="B265" i="1"/>
  <c r="E264" i="1"/>
  <c r="D264" i="1"/>
  <c r="C264" i="1"/>
  <c r="B264" i="1"/>
  <c r="E263" i="1"/>
  <c r="D263" i="1"/>
  <c r="C263" i="1"/>
  <c r="B263" i="1"/>
  <c r="E262" i="1"/>
  <c r="D262" i="1"/>
  <c r="C262" i="1"/>
  <c r="B262" i="1"/>
  <c r="E261" i="1"/>
  <c r="D261" i="1"/>
  <c r="C261" i="1"/>
  <c r="B261" i="1"/>
  <c r="E260" i="1"/>
  <c r="D260" i="1"/>
  <c r="C260" i="1"/>
  <c r="B260" i="1"/>
  <c r="E259" i="1"/>
  <c r="D259" i="1"/>
  <c r="C259" i="1"/>
  <c r="B259" i="1"/>
  <c r="E258" i="1"/>
  <c r="D258" i="1"/>
  <c r="C258" i="1"/>
  <c r="B258" i="1"/>
  <c r="E257" i="1"/>
  <c r="D257" i="1"/>
  <c r="C257" i="1"/>
  <c r="B257" i="1"/>
  <c r="E256" i="1"/>
  <c r="D256" i="1"/>
  <c r="C256" i="1"/>
  <c r="B256" i="1"/>
  <c r="E255" i="1"/>
  <c r="D255" i="1"/>
  <c r="C255" i="1"/>
  <c r="B255" i="1"/>
  <c r="E254" i="1"/>
  <c r="D254" i="1"/>
  <c r="C254" i="1"/>
  <c r="B254" i="1"/>
  <c r="E253" i="1"/>
  <c r="D253" i="1"/>
  <c r="C253" i="1"/>
  <c r="B253" i="1"/>
  <c r="E252" i="1"/>
  <c r="D252" i="1"/>
  <c r="C252" i="1"/>
  <c r="B252" i="1"/>
  <c r="E251" i="1"/>
  <c r="D251" i="1"/>
  <c r="C251" i="1"/>
  <c r="B251" i="1"/>
  <c r="E250" i="1"/>
  <c r="D250" i="1"/>
  <c r="C250" i="1"/>
  <c r="B250" i="1"/>
  <c r="E249" i="1"/>
  <c r="D249" i="1"/>
  <c r="C249" i="1"/>
  <c r="B249" i="1"/>
  <c r="E248" i="1"/>
  <c r="D248" i="1"/>
  <c r="C248" i="1"/>
  <c r="B248" i="1"/>
  <c r="E247" i="1"/>
  <c r="D247" i="1"/>
  <c r="C247" i="1"/>
  <c r="B247" i="1"/>
  <c r="E246" i="1"/>
  <c r="D246" i="1"/>
  <c r="C246" i="1"/>
  <c r="B246" i="1"/>
  <c r="E245" i="1"/>
  <c r="D245" i="1"/>
  <c r="C245" i="1"/>
  <c r="B245" i="1"/>
  <c r="E244" i="1"/>
  <c r="D244" i="1"/>
  <c r="C244" i="1"/>
  <c r="B244" i="1"/>
  <c r="E243" i="1"/>
  <c r="D243" i="1"/>
  <c r="C243" i="1"/>
  <c r="B243" i="1"/>
  <c r="E242" i="1"/>
  <c r="D242" i="1"/>
  <c r="C242" i="1"/>
  <c r="B242" i="1"/>
  <c r="E241" i="1"/>
  <c r="D241" i="1"/>
  <c r="C241" i="1"/>
  <c r="B241" i="1"/>
  <c r="E240" i="1"/>
  <c r="D240" i="1"/>
  <c r="C240" i="1"/>
  <c r="B240" i="1"/>
  <c r="E239" i="1"/>
  <c r="D239" i="1"/>
  <c r="C239" i="1"/>
  <c r="B239" i="1"/>
  <c r="E238" i="1"/>
  <c r="D238" i="1"/>
  <c r="C238" i="1"/>
  <c r="B238" i="1"/>
  <c r="E237" i="1"/>
  <c r="D237" i="1"/>
  <c r="C237" i="1"/>
  <c r="B237" i="1"/>
  <c r="E236" i="1"/>
  <c r="D236" i="1"/>
  <c r="C236" i="1"/>
  <c r="B236" i="1"/>
  <c r="E235" i="1"/>
  <c r="D235" i="1"/>
  <c r="C235" i="1"/>
  <c r="B235" i="1"/>
  <c r="E234" i="1"/>
  <c r="D234" i="1"/>
  <c r="C234" i="1"/>
  <c r="B234" i="1"/>
  <c r="E233" i="1"/>
  <c r="D233" i="1"/>
  <c r="C233" i="1"/>
  <c r="B233" i="1"/>
  <c r="E232" i="1"/>
  <c r="D232" i="1"/>
  <c r="C232" i="1"/>
  <c r="B232" i="1"/>
  <c r="E231" i="1"/>
  <c r="D231" i="1"/>
  <c r="C231" i="1"/>
  <c r="B231" i="1"/>
  <c r="E230" i="1"/>
  <c r="D230" i="1"/>
  <c r="C230" i="1"/>
  <c r="B230" i="1"/>
  <c r="E229" i="1"/>
  <c r="D229" i="1"/>
  <c r="C229" i="1"/>
  <c r="B229" i="1"/>
  <c r="E228" i="1"/>
  <c r="D228" i="1"/>
  <c r="C228" i="1"/>
  <c r="B228" i="1"/>
  <c r="E227" i="1"/>
  <c r="D227" i="1"/>
  <c r="C227" i="1"/>
  <c r="B227" i="1"/>
  <c r="E226" i="1"/>
  <c r="D226" i="1"/>
  <c r="C226" i="1"/>
  <c r="B226" i="1"/>
  <c r="E225" i="1"/>
  <c r="D225" i="1"/>
  <c r="C225" i="1"/>
  <c r="B225" i="1"/>
  <c r="E224" i="1"/>
  <c r="D224" i="1"/>
  <c r="C224" i="1"/>
  <c r="B224" i="1"/>
  <c r="E223" i="1"/>
  <c r="D223" i="1"/>
  <c r="C223" i="1"/>
  <c r="B223" i="1"/>
  <c r="E222" i="1"/>
  <c r="D222" i="1"/>
  <c r="C222" i="1"/>
  <c r="B222" i="1"/>
  <c r="E221" i="1"/>
  <c r="D221" i="1"/>
  <c r="C221" i="1"/>
  <c r="B221" i="1"/>
  <c r="E220" i="1"/>
  <c r="D220" i="1"/>
  <c r="C220" i="1"/>
  <c r="B220" i="1"/>
  <c r="E219" i="1"/>
  <c r="D219" i="1"/>
  <c r="C219" i="1"/>
  <c r="B219" i="1"/>
  <c r="E218" i="1"/>
  <c r="D218" i="1"/>
  <c r="C218" i="1"/>
  <c r="B218" i="1"/>
  <c r="E217" i="1"/>
  <c r="D217" i="1"/>
  <c r="C217" i="1"/>
  <c r="B217" i="1"/>
  <c r="E216" i="1"/>
  <c r="D216" i="1"/>
  <c r="C216" i="1"/>
  <c r="B216" i="1"/>
  <c r="E215" i="1"/>
  <c r="D215" i="1"/>
  <c r="C215" i="1"/>
  <c r="B215" i="1"/>
  <c r="E214" i="1"/>
  <c r="D214" i="1"/>
  <c r="C214" i="1"/>
  <c r="B214" i="1"/>
  <c r="E213" i="1"/>
  <c r="D213" i="1"/>
  <c r="C213" i="1"/>
  <c r="B213" i="1"/>
  <c r="E212" i="1"/>
  <c r="D212" i="1"/>
  <c r="C212" i="1"/>
  <c r="B212" i="1"/>
  <c r="E211" i="1"/>
  <c r="D211" i="1"/>
  <c r="C211" i="1"/>
  <c r="B211" i="1"/>
  <c r="E210" i="1"/>
  <c r="D210" i="1"/>
  <c r="C210" i="1"/>
  <c r="B210" i="1"/>
  <c r="E209" i="1"/>
  <c r="D209" i="1"/>
  <c r="C209" i="1"/>
  <c r="B209" i="1"/>
  <c r="E208" i="1"/>
  <c r="D208" i="1"/>
  <c r="C208" i="1"/>
  <c r="B208" i="1"/>
  <c r="E207" i="1"/>
  <c r="D207" i="1"/>
  <c r="C207" i="1"/>
  <c r="B207" i="1"/>
  <c r="E206" i="1"/>
  <c r="D206" i="1"/>
  <c r="C206" i="1"/>
  <c r="B206" i="1"/>
  <c r="E205" i="1"/>
  <c r="D205" i="1"/>
  <c r="C205" i="1"/>
  <c r="B205" i="1"/>
  <c r="E204" i="1"/>
  <c r="D204" i="1"/>
  <c r="C204" i="1"/>
  <c r="B204" i="1"/>
  <c r="E203" i="1"/>
  <c r="D203" i="1"/>
  <c r="C203" i="1"/>
  <c r="B203" i="1"/>
  <c r="E202" i="1"/>
  <c r="D202" i="1"/>
  <c r="C202" i="1"/>
  <c r="B202" i="1"/>
  <c r="E201" i="1"/>
  <c r="D201" i="1"/>
  <c r="C201" i="1"/>
  <c r="B201" i="1"/>
  <c r="E200" i="1"/>
  <c r="D200" i="1"/>
  <c r="C200" i="1"/>
  <c r="B200" i="1"/>
  <c r="E199" i="1"/>
  <c r="D199" i="1"/>
  <c r="C199" i="1"/>
  <c r="B199" i="1"/>
  <c r="E198" i="1"/>
  <c r="D198" i="1"/>
  <c r="C198" i="1"/>
  <c r="B198" i="1"/>
  <c r="E197" i="1"/>
  <c r="D197" i="1"/>
  <c r="C197" i="1"/>
  <c r="B197" i="1"/>
  <c r="E196" i="1"/>
  <c r="D196" i="1"/>
  <c r="C196" i="1"/>
  <c r="B196" i="1"/>
  <c r="E195" i="1"/>
  <c r="D195" i="1"/>
  <c r="C195" i="1"/>
  <c r="B195" i="1"/>
  <c r="E194" i="1"/>
  <c r="D194" i="1"/>
  <c r="C194" i="1"/>
  <c r="B194" i="1"/>
  <c r="E193" i="1"/>
  <c r="D193" i="1"/>
  <c r="C193" i="1"/>
  <c r="B193" i="1"/>
  <c r="E192" i="1"/>
  <c r="D192" i="1"/>
  <c r="C192" i="1"/>
  <c r="B192" i="1"/>
  <c r="E191" i="1"/>
  <c r="D191" i="1"/>
  <c r="C191" i="1"/>
  <c r="B191" i="1"/>
  <c r="E190" i="1"/>
  <c r="D190" i="1"/>
  <c r="C190" i="1"/>
  <c r="B190" i="1"/>
  <c r="E189" i="1"/>
  <c r="D189" i="1"/>
  <c r="C189" i="1"/>
  <c r="B189" i="1"/>
  <c r="E188" i="1"/>
  <c r="D188" i="1"/>
  <c r="C188" i="1"/>
  <c r="B188" i="1"/>
  <c r="E187" i="1"/>
  <c r="D187" i="1"/>
  <c r="C187" i="1"/>
  <c r="B187" i="1"/>
  <c r="E186" i="1"/>
  <c r="D186" i="1"/>
  <c r="C186" i="1"/>
  <c r="B186" i="1"/>
  <c r="E185" i="1"/>
  <c r="D185" i="1"/>
  <c r="C185" i="1"/>
  <c r="B185" i="1"/>
  <c r="E184" i="1"/>
  <c r="D184" i="1"/>
  <c r="C184" i="1"/>
  <c r="B184" i="1"/>
  <c r="E183" i="1"/>
  <c r="D183" i="1"/>
  <c r="C183" i="1"/>
  <c r="B183" i="1"/>
  <c r="E182" i="1"/>
  <c r="D182" i="1"/>
  <c r="C182" i="1"/>
  <c r="B182" i="1"/>
  <c r="E181" i="1"/>
  <c r="D181" i="1"/>
  <c r="C181" i="1"/>
  <c r="B181" i="1"/>
  <c r="E180" i="1"/>
  <c r="D180" i="1"/>
  <c r="C180" i="1"/>
  <c r="B180" i="1"/>
  <c r="E179" i="1"/>
  <c r="D179" i="1"/>
  <c r="C179" i="1"/>
  <c r="B179" i="1"/>
  <c r="E178" i="1"/>
  <c r="D178" i="1"/>
  <c r="C178" i="1"/>
  <c r="B178" i="1"/>
  <c r="E177" i="1"/>
  <c r="D177" i="1"/>
  <c r="C177" i="1"/>
  <c r="B177" i="1"/>
  <c r="E176" i="1"/>
  <c r="D176" i="1"/>
  <c r="C176" i="1"/>
  <c r="B176" i="1"/>
  <c r="E175" i="1"/>
  <c r="D175" i="1"/>
  <c r="C175" i="1"/>
  <c r="B175" i="1"/>
  <c r="E174" i="1"/>
  <c r="D174" i="1"/>
  <c r="C174" i="1"/>
  <c r="B174" i="1"/>
  <c r="E173" i="1"/>
  <c r="D173" i="1"/>
  <c r="C173" i="1"/>
  <c r="B173" i="1"/>
  <c r="E172" i="1"/>
  <c r="D172" i="1"/>
  <c r="C172" i="1"/>
  <c r="B172" i="1"/>
  <c r="E171" i="1"/>
  <c r="D171" i="1"/>
  <c r="C171" i="1"/>
  <c r="B171" i="1"/>
  <c r="E170" i="1"/>
  <c r="D170" i="1"/>
  <c r="C170" i="1"/>
  <c r="B170" i="1"/>
  <c r="E169" i="1"/>
  <c r="D169" i="1"/>
  <c r="C169" i="1"/>
  <c r="B169" i="1"/>
  <c r="E168" i="1"/>
  <c r="D168" i="1"/>
  <c r="C168" i="1"/>
  <c r="B168" i="1"/>
  <c r="E167" i="1"/>
  <c r="D167" i="1"/>
  <c r="C167" i="1"/>
  <c r="B167" i="1"/>
  <c r="E166" i="1"/>
  <c r="D166" i="1"/>
  <c r="C166" i="1"/>
  <c r="B166" i="1"/>
  <c r="E165" i="1"/>
  <c r="D165" i="1"/>
  <c r="C165" i="1"/>
  <c r="B165" i="1"/>
  <c r="E164" i="1"/>
  <c r="D164" i="1"/>
  <c r="C164" i="1"/>
  <c r="B164" i="1"/>
  <c r="E163" i="1"/>
  <c r="D163" i="1"/>
  <c r="C163" i="1"/>
  <c r="B163" i="1"/>
  <c r="E162" i="1"/>
  <c r="D162" i="1"/>
  <c r="C162" i="1"/>
  <c r="B162" i="1"/>
  <c r="E161" i="1"/>
  <c r="D161" i="1"/>
  <c r="C161" i="1"/>
  <c r="B161" i="1"/>
  <c r="E160" i="1"/>
  <c r="D160" i="1"/>
  <c r="C160" i="1"/>
  <c r="B160" i="1"/>
  <c r="E159" i="1"/>
  <c r="D159" i="1"/>
  <c r="C159" i="1"/>
  <c r="B159" i="1"/>
  <c r="E158" i="1"/>
  <c r="D158" i="1"/>
  <c r="C158" i="1"/>
  <c r="B158" i="1"/>
  <c r="E157" i="1"/>
  <c r="D157" i="1"/>
  <c r="C157" i="1"/>
  <c r="B157" i="1"/>
  <c r="E156" i="1"/>
  <c r="D156" i="1"/>
  <c r="C156" i="1"/>
  <c r="B156" i="1"/>
  <c r="E155" i="1"/>
  <c r="D155" i="1"/>
  <c r="C155" i="1"/>
  <c r="B155" i="1"/>
  <c r="E154" i="1"/>
  <c r="D154" i="1"/>
  <c r="C154" i="1"/>
  <c r="B154" i="1"/>
  <c r="E153" i="1"/>
  <c r="D153" i="1"/>
  <c r="C153" i="1"/>
  <c r="B153" i="1"/>
  <c r="E152" i="1"/>
  <c r="D152" i="1"/>
  <c r="C152" i="1"/>
  <c r="B152" i="1"/>
  <c r="E151" i="1"/>
  <c r="D151" i="1"/>
  <c r="C151" i="1"/>
  <c r="B151" i="1"/>
  <c r="E150" i="1"/>
  <c r="D150" i="1"/>
  <c r="C150" i="1"/>
  <c r="B150" i="1"/>
  <c r="E149" i="1"/>
  <c r="D149" i="1"/>
  <c r="C149" i="1"/>
  <c r="B149" i="1"/>
  <c r="E148" i="1"/>
  <c r="D148" i="1"/>
  <c r="C148" i="1"/>
  <c r="B148" i="1"/>
  <c r="E147" i="1"/>
  <c r="D147" i="1"/>
  <c r="C147" i="1"/>
  <c r="B147" i="1"/>
  <c r="E146" i="1"/>
  <c r="D146" i="1"/>
  <c r="C146" i="1"/>
  <c r="B146" i="1"/>
  <c r="E145" i="1"/>
  <c r="D145" i="1"/>
  <c r="C145" i="1"/>
  <c r="B145" i="1"/>
  <c r="E144" i="1"/>
  <c r="D144" i="1"/>
  <c r="C144" i="1"/>
  <c r="B144" i="1"/>
  <c r="E143" i="1"/>
  <c r="D143" i="1"/>
  <c r="C143" i="1"/>
  <c r="B143" i="1"/>
  <c r="E142" i="1"/>
  <c r="D142" i="1"/>
  <c r="C142" i="1"/>
  <c r="B142" i="1"/>
  <c r="E141" i="1"/>
  <c r="D141" i="1"/>
  <c r="C141" i="1"/>
  <c r="B141" i="1"/>
  <c r="E140" i="1"/>
  <c r="D140" i="1"/>
  <c r="C140" i="1"/>
  <c r="B140" i="1"/>
  <c r="E139" i="1"/>
  <c r="D139" i="1"/>
  <c r="C139" i="1"/>
  <c r="B139" i="1"/>
  <c r="E138" i="1"/>
  <c r="D138" i="1"/>
  <c r="C138" i="1"/>
  <c r="B138" i="1"/>
  <c r="E137" i="1"/>
  <c r="D137" i="1"/>
  <c r="C137" i="1"/>
  <c r="B137" i="1"/>
  <c r="E136" i="1"/>
  <c r="D136" i="1"/>
  <c r="C136" i="1"/>
  <c r="B136" i="1"/>
  <c r="E135" i="1"/>
  <c r="D135" i="1"/>
  <c r="C135" i="1"/>
  <c r="B135" i="1"/>
  <c r="E134" i="1"/>
  <c r="D134" i="1"/>
  <c r="C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C106" i="1"/>
  <c r="B106" i="1"/>
  <c r="E105" i="1"/>
  <c r="D105" i="1"/>
  <c r="C105" i="1"/>
  <c r="B105" i="1"/>
  <c r="E104" i="1"/>
  <c r="D104" i="1"/>
  <c r="C104" i="1"/>
  <c r="B104" i="1"/>
  <c r="E103" i="1"/>
  <c r="D103" i="1"/>
  <c r="C103" i="1"/>
  <c r="B103" i="1"/>
  <c r="E102" i="1"/>
  <c r="D102" i="1"/>
  <c r="C102" i="1"/>
  <c r="B102" i="1"/>
  <c r="E101" i="1"/>
  <c r="D101" i="1"/>
  <c r="C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C97" i="1"/>
  <c r="B97" i="1"/>
  <c r="E96" i="1"/>
  <c r="D96" i="1"/>
  <c r="C96" i="1"/>
  <c r="B96" i="1"/>
  <c r="E95" i="1"/>
  <c r="D95" i="1"/>
  <c r="C95" i="1"/>
  <c r="B95" i="1"/>
  <c r="E94" i="1"/>
  <c r="D94" i="1"/>
  <c r="C94" i="1"/>
  <c r="B94" i="1"/>
  <c r="E93" i="1"/>
  <c r="D93" i="1"/>
  <c r="C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C10" i="7"/>
  <c r="D7" i="7"/>
  <c r="E30" i="6" l="1"/>
  <c r="E31" i="6" s="1"/>
  <c r="D30" i="6"/>
  <c r="D31" i="6" s="1"/>
  <c r="C30" i="6"/>
  <c r="C31" i="6" s="1"/>
  <c r="C6" i="7"/>
  <c r="E6" i="7" s="1"/>
  <c r="D7" i="3"/>
  <c r="D27" i="3" s="1"/>
  <c r="F23" i="3"/>
  <c r="F20" i="3"/>
  <c r="F25" i="3" s="1"/>
  <c r="F27" i="3" s="1"/>
  <c r="G29" i="2"/>
  <c r="G34" i="2"/>
  <c r="G20" i="2"/>
  <c r="G18" i="2"/>
  <c r="G17" i="2"/>
  <c r="G13" i="2"/>
  <c r="G7" i="2"/>
  <c r="C26" i="2"/>
  <c r="G19" i="2"/>
  <c r="G16" i="2"/>
  <c r="G15" i="2"/>
  <c r="G14" i="2"/>
  <c r="G12" i="2"/>
  <c r="D21" i="2"/>
  <c r="D26" i="2" s="1"/>
  <c r="G10" i="2"/>
  <c r="G9" i="2"/>
  <c r="G8" i="2"/>
  <c r="C18" i="5"/>
  <c r="C21" i="5"/>
  <c r="C17" i="5"/>
  <c r="D16" i="5"/>
  <c r="G33" i="2"/>
  <c r="E35" i="2"/>
  <c r="G35" i="2" s="1"/>
  <c r="G28" i="2"/>
  <c r="E30" i="2"/>
  <c r="G30" i="2" s="1"/>
  <c r="E21" i="2"/>
  <c r="G21" i="2" s="1"/>
  <c r="G11" i="2"/>
  <c r="G4" i="2"/>
  <c r="E6" i="2"/>
  <c r="D27" i="2"/>
  <c r="D31" i="2"/>
  <c r="C27" i="2" l="1"/>
  <c r="C31" i="2"/>
  <c r="C19" i="5"/>
  <c r="C23" i="5"/>
  <c r="C24" i="5"/>
  <c r="C25" i="5" s="1"/>
  <c r="C28" i="5" s="1"/>
  <c r="D17" i="5"/>
  <c r="D18" i="5"/>
  <c r="E16" i="5"/>
  <c r="D21" i="5"/>
  <c r="G6" i="2"/>
  <c r="E26" i="2"/>
  <c r="D39" i="2"/>
  <c r="E33" i="3" s="1"/>
  <c r="E34" i="3" s="1"/>
  <c r="E35" i="3" s="1"/>
  <c r="D32" i="2"/>
  <c r="C32" i="2" l="1"/>
  <c r="C39" i="2"/>
  <c r="D33" i="3" s="1"/>
  <c r="D34" i="3" s="1"/>
  <c r="D35" i="3" s="1"/>
  <c r="D19" i="5"/>
  <c r="D23" i="5"/>
  <c r="D24" i="5"/>
  <c r="D25" i="5" s="1"/>
  <c r="D28" i="5" s="1"/>
  <c r="E17" i="5"/>
  <c r="E18" i="5"/>
  <c r="F16" i="5"/>
  <c r="E21" i="5"/>
  <c r="G26" i="2"/>
  <c r="E27" i="2"/>
  <c r="G27" i="2" s="1"/>
  <c r="E31" i="2"/>
  <c r="F17" i="5" l="1"/>
  <c r="F18" i="5"/>
  <c r="G16" i="5"/>
  <c r="F21" i="5"/>
  <c r="G31" i="2"/>
  <c r="E32" i="2"/>
  <c r="G32" i="2" s="1"/>
  <c r="E39" i="2"/>
  <c r="E19" i="5"/>
  <c r="G17" i="5" l="1"/>
  <c r="G18" i="5"/>
  <c r="G21" i="5"/>
  <c r="F33" i="3"/>
  <c r="F34" i="3" s="1"/>
  <c r="F35" i="3" s="1"/>
  <c r="G39" i="2"/>
  <c r="E23" i="5"/>
  <c r="E24" i="5" s="1"/>
  <c r="E25" i="5" s="1"/>
  <c r="E28" i="5" s="1"/>
  <c r="F19" i="5"/>
  <c r="F23" i="5" l="1"/>
  <c r="F24" i="5" s="1"/>
  <c r="F25" i="5" s="1"/>
  <c r="F28" i="5" s="1"/>
  <c r="G19" i="5"/>
  <c r="G23" i="5" l="1"/>
  <c r="G24" i="5" s="1"/>
  <c r="G25" i="5" s="1"/>
  <c r="G28" i="5" l="1"/>
  <c r="G29" i="5" s="1"/>
  <c r="G30" i="5"/>
  <c r="G31" i="5" s="1"/>
  <c r="G32" i="5" l="1"/>
  <c r="C36" i="5"/>
  <c r="C5" i="7"/>
  <c r="E5" i="7" s="1"/>
  <c r="C9" i="7" s="1"/>
  <c r="C11" i="7" s="1"/>
  <c r="C34" i="5"/>
</calcChain>
</file>

<file path=xl/sharedStrings.xml><?xml version="1.0" encoding="utf-8"?>
<sst xmlns="http://schemas.openxmlformats.org/spreadsheetml/2006/main" count="2615" uniqueCount="1644">
  <si>
    <t>Préfixe</t>
  </si>
  <si>
    <t>Ligne (Mapping)</t>
  </si>
  <si>
    <t>État</t>
  </si>
  <si>
    <t>10</t>
  </si>
  <si>
    <t>Capital</t>
  </si>
  <si>
    <t>Actif net</t>
  </si>
  <si>
    <t>11</t>
  </si>
  <si>
    <t>Réserves</t>
  </si>
  <si>
    <t>12</t>
  </si>
  <si>
    <t>Report à nouveau</t>
  </si>
  <si>
    <t>13</t>
  </si>
  <si>
    <t>Résultat en instance d'affectation</t>
  </si>
  <si>
    <t>14</t>
  </si>
  <si>
    <t>Subventions d'investissement et provisions réglementées</t>
  </si>
  <si>
    <t>15</t>
  </si>
  <si>
    <t>16</t>
  </si>
  <si>
    <t>Emprunts et dettes financières</t>
  </si>
  <si>
    <t>17</t>
  </si>
  <si>
    <t>Dettes de location-acquisition</t>
  </si>
  <si>
    <t>18</t>
  </si>
  <si>
    <t>19</t>
  </si>
  <si>
    <t>Provisions pour risques et charges</t>
  </si>
  <si>
    <t>20</t>
  </si>
  <si>
    <t>Immobilisations incorporelles</t>
  </si>
  <si>
    <t>21</t>
  </si>
  <si>
    <t>22</t>
  </si>
  <si>
    <t>Immobilisations corporelles</t>
  </si>
  <si>
    <t>23</t>
  </si>
  <si>
    <t>24</t>
  </si>
  <si>
    <t>25</t>
  </si>
  <si>
    <t>26</t>
  </si>
  <si>
    <t>Immobilisations financières</t>
  </si>
  <si>
    <t>27</t>
  </si>
  <si>
    <t>281</t>
  </si>
  <si>
    <t>282</t>
  </si>
  <si>
    <t>283</t>
  </si>
  <si>
    <t>284</t>
  </si>
  <si>
    <t>285</t>
  </si>
  <si>
    <t>288</t>
  </si>
  <si>
    <t>291</t>
  </si>
  <si>
    <t>292</t>
  </si>
  <si>
    <t>293</t>
  </si>
  <si>
    <t>294</t>
  </si>
  <si>
    <t>295</t>
  </si>
  <si>
    <t>296</t>
  </si>
  <si>
    <t>297</t>
  </si>
  <si>
    <t>3</t>
  </si>
  <si>
    <t>Stocks et en-cours</t>
  </si>
  <si>
    <t>40</t>
  </si>
  <si>
    <t>Dettes fournisseurs</t>
  </si>
  <si>
    <t>409</t>
  </si>
  <si>
    <t>Avances versées aux fournisseurs</t>
  </si>
  <si>
    <t>41</t>
  </si>
  <si>
    <t>Créances clients</t>
  </si>
  <si>
    <t>419</t>
  </si>
  <si>
    <t>Avances reçues des clients</t>
  </si>
  <si>
    <t>42</t>
  </si>
  <si>
    <t>Dettes et créances sociales</t>
  </si>
  <si>
    <t>43</t>
  </si>
  <si>
    <t>44</t>
  </si>
  <si>
    <t>Dettes et créances fiscales</t>
  </si>
  <si>
    <t>45</t>
  </si>
  <si>
    <t>Débiteurs et créditeurs divers</t>
  </si>
  <si>
    <t>46</t>
  </si>
  <si>
    <t>Associés et groupe</t>
  </si>
  <si>
    <t>47</t>
  </si>
  <si>
    <t>48</t>
  </si>
  <si>
    <t>49</t>
  </si>
  <si>
    <t>491</t>
  </si>
  <si>
    <t>499</t>
  </si>
  <si>
    <t>Provisions pour risques à court terme</t>
  </si>
  <si>
    <t>50</t>
  </si>
  <si>
    <t>Disponibilités</t>
  </si>
  <si>
    <t>51</t>
  </si>
  <si>
    <t>52</t>
  </si>
  <si>
    <t>53</t>
  </si>
  <si>
    <t>54</t>
  </si>
  <si>
    <t>55</t>
  </si>
  <si>
    <t>56</t>
  </si>
  <si>
    <t>Crédits de trésorerie</t>
  </si>
  <si>
    <t>57</t>
  </si>
  <si>
    <t>58</t>
  </si>
  <si>
    <t>59</t>
  </si>
  <si>
    <t>599</t>
  </si>
  <si>
    <t>601</t>
  </si>
  <si>
    <t>Achats de marchandises et matières</t>
  </si>
  <si>
    <t>Compte de résultat</t>
  </si>
  <si>
    <t>602</t>
  </si>
  <si>
    <t>603</t>
  </si>
  <si>
    <t>604</t>
  </si>
  <si>
    <t>Autres achats</t>
  </si>
  <si>
    <t>605</t>
  </si>
  <si>
    <t>608</t>
  </si>
  <si>
    <t>61</t>
  </si>
  <si>
    <t>Transports</t>
  </si>
  <si>
    <t>62</t>
  </si>
  <si>
    <t>Autres services extérieurs</t>
  </si>
  <si>
    <t>621</t>
  </si>
  <si>
    <t>Sous-traitance générale</t>
  </si>
  <si>
    <t>622</t>
  </si>
  <si>
    <t>Locations et charges locatives</t>
  </si>
  <si>
    <t>623</t>
  </si>
  <si>
    <t>624</t>
  </si>
  <si>
    <t>Entretien, réparations et maintenance</t>
  </si>
  <si>
    <t>625</t>
  </si>
  <si>
    <t>Primes d'assurance</t>
  </si>
  <si>
    <t>626</t>
  </si>
  <si>
    <t>Études, recherches et documentation</t>
  </si>
  <si>
    <t>627</t>
  </si>
  <si>
    <t>Publicité et relations publiques</t>
  </si>
  <si>
    <t>628</t>
  </si>
  <si>
    <t>Frais de télécommunications</t>
  </si>
  <si>
    <t>63</t>
  </si>
  <si>
    <t>631</t>
  </si>
  <si>
    <t>Frais bancaires</t>
  </si>
  <si>
    <t>632</t>
  </si>
  <si>
    <t>Rémunérations d'intermédiaires et de conseils</t>
  </si>
  <si>
    <t>64</t>
  </si>
  <si>
    <t>Impôts et taxes</t>
  </si>
  <si>
    <t>65</t>
  </si>
  <si>
    <t>Autres charges d'exploitation</t>
  </si>
  <si>
    <t>66</t>
  </si>
  <si>
    <t>Charges de personnel</t>
  </si>
  <si>
    <t>67</t>
  </si>
  <si>
    <t>Charges financières</t>
  </si>
  <si>
    <t>68</t>
  </si>
  <si>
    <t>Dotations aux amortissements et provisions</t>
  </si>
  <si>
    <t>687</t>
  </si>
  <si>
    <t>69</t>
  </si>
  <si>
    <t>697</t>
  </si>
  <si>
    <t>701</t>
  </si>
  <si>
    <t>Ventes de marchandises</t>
  </si>
  <si>
    <t>702</t>
  </si>
  <si>
    <t>Production vendue et services</t>
  </si>
  <si>
    <t>703</t>
  </si>
  <si>
    <t>704</t>
  </si>
  <si>
    <t>705</t>
  </si>
  <si>
    <t>706</t>
  </si>
  <si>
    <t>707</t>
  </si>
  <si>
    <t>71</t>
  </si>
  <si>
    <t>Autres produits d'exploitation</t>
  </si>
  <si>
    <t>72</t>
  </si>
  <si>
    <t>Production stockée et immobilisée</t>
  </si>
  <si>
    <t>73</t>
  </si>
  <si>
    <t>75</t>
  </si>
  <si>
    <t>77</t>
  </si>
  <si>
    <t>Produits financiers</t>
  </si>
  <si>
    <t>78</t>
  </si>
  <si>
    <t>787</t>
  </si>
  <si>
    <t>79</t>
  </si>
  <si>
    <t>Reprises d'amortissements et de provisions</t>
  </si>
  <si>
    <t>797</t>
  </si>
  <si>
    <t>81</t>
  </si>
  <si>
    <t>Résultat HAO</t>
  </si>
  <si>
    <t>82</t>
  </si>
  <si>
    <t>83</t>
  </si>
  <si>
    <t>84</t>
  </si>
  <si>
    <t>85</t>
  </si>
  <si>
    <t>86</t>
  </si>
  <si>
    <t>87</t>
  </si>
  <si>
    <t>Participation des travailleurs</t>
  </si>
  <si>
    <t>88</t>
  </si>
  <si>
    <t>89</t>
  </si>
  <si>
    <t>Impôt sur le résultat</t>
  </si>
  <si>
    <t>Un compte rejoint la ligne de son préfixe le plus long ; sans préfixe connu, celle de sa classe (2 : immobilisations corporelles, 3 : stocks, 4 : débiteurs et créditeurs divers, 5 : disponibilités, 6 : autres charges, 7 : autres produits, 8 : résultat HAO).</t>
  </si>
  <si>
    <t>Mapping</t>
  </si>
  <si>
    <t>C1</t>
  </si>
  <si>
    <t>C2</t>
  </si>
  <si>
    <t>C3</t>
  </si>
  <si>
    <t>C4</t>
  </si>
  <si>
    <t>NC</t>
  </si>
  <si>
    <t>LB</t>
  </si>
  <si>
    <t>FY21</t>
  </si>
  <si>
    <t>FY22</t>
  </si>
  <si>
    <t>FY23</t>
  </si>
  <si>
    <t>101100</t>
  </si>
  <si>
    <t>Capital Souscrit</t>
  </si>
  <si>
    <t>106200</t>
  </si>
  <si>
    <t>Ecart de Reevaluation Libre</t>
  </si>
  <si>
    <t>121100</t>
  </si>
  <si>
    <t>Report A Nouveau Crediteur</t>
  </si>
  <si>
    <t>161100</t>
  </si>
  <si>
    <t>Emprunt Obligataire(SOGEBOURSE)</t>
  </si>
  <si>
    <t>161200</t>
  </si>
  <si>
    <t>Emprunts AGDEVCO</t>
  </si>
  <si>
    <t>161300</t>
  </si>
  <si>
    <t>Emprunt Obligataire HUDSON &amp; CIE</t>
  </si>
  <si>
    <t>162600</t>
  </si>
  <si>
    <t>Emprunts BGFI</t>
  </si>
  <si>
    <t>165200</t>
  </si>
  <si>
    <t>CAUTIONNEMENTS REÇUS</t>
  </si>
  <si>
    <t>166100</t>
  </si>
  <si>
    <t>Interêt Courus Non échus /Emprunts</t>
  </si>
  <si>
    <t>173200</t>
  </si>
  <si>
    <t>AUTRES EMPRUNTS CREDITS BAIL MOBILIER</t>
  </si>
  <si>
    <t>191000</t>
  </si>
  <si>
    <t>PROVISIONS POUR LITIGES</t>
  </si>
  <si>
    <t>196100</t>
  </si>
  <si>
    <t>Provision pour Pension et Engagement de Retraite</t>
  </si>
  <si>
    <t>213100</t>
  </si>
  <si>
    <t>Logiciels</t>
  </si>
  <si>
    <t>213101</t>
  </si>
  <si>
    <t>Logiciels USINE</t>
  </si>
  <si>
    <t>232200</t>
  </si>
  <si>
    <t>Batiment Agricole</t>
  </si>
  <si>
    <t>232810</t>
  </si>
  <si>
    <t>Autres Batiments Administratifs</t>
  </si>
  <si>
    <t>232811</t>
  </si>
  <si>
    <t>Autres Batiments Administratifs Usine</t>
  </si>
  <si>
    <t>236100</t>
  </si>
  <si>
    <t>Autres Batiments</t>
  </si>
  <si>
    <t>236200</t>
  </si>
  <si>
    <t>Centre Logistique</t>
  </si>
  <si>
    <t>238000</t>
  </si>
  <si>
    <t>Autres installations et Agencements</t>
  </si>
  <si>
    <t>238500</t>
  </si>
  <si>
    <t>Autres installations et amenagemt P</t>
  </si>
  <si>
    <t>238600</t>
  </si>
  <si>
    <t>Autres Installation et Agencement  Informatique</t>
  </si>
  <si>
    <t>241100</t>
  </si>
  <si>
    <t>Materiel industriel Usine</t>
  </si>
  <si>
    <t>242000</t>
  </si>
  <si>
    <t>MATERIEL &amp; OUTILLAGE AGRICOLE</t>
  </si>
  <si>
    <t>242100</t>
  </si>
  <si>
    <t>Materiel agricole</t>
  </si>
  <si>
    <t>242200</t>
  </si>
  <si>
    <t>Outillage Agricole</t>
  </si>
  <si>
    <t>244100</t>
  </si>
  <si>
    <t>Materiel de Bureau</t>
  </si>
  <si>
    <t>244200</t>
  </si>
  <si>
    <t>Materiel informatique</t>
  </si>
  <si>
    <t>244201</t>
  </si>
  <si>
    <t>Materiel informatique USINE</t>
  </si>
  <si>
    <t>244202</t>
  </si>
  <si>
    <t>Materiel informatique AGRICULTURE</t>
  </si>
  <si>
    <t>244203</t>
  </si>
  <si>
    <t>Materiel informatique PEPINIERE</t>
  </si>
  <si>
    <t>244204</t>
  </si>
  <si>
    <t>Materiel informatique ADMINISTRATION</t>
  </si>
  <si>
    <t>244300</t>
  </si>
  <si>
    <t>Materiel Bureautique</t>
  </si>
  <si>
    <t>244301</t>
  </si>
  <si>
    <t>Materiel Bureautique USINE</t>
  </si>
  <si>
    <t>244304</t>
  </si>
  <si>
    <t>Materiel Bureautique ADMINISTRATION</t>
  </si>
  <si>
    <t>244400</t>
  </si>
  <si>
    <t>Mobilier de bureau</t>
  </si>
  <si>
    <t>244402</t>
  </si>
  <si>
    <t>Mobilier de bureau AGRICULTURE</t>
  </si>
  <si>
    <t>244404</t>
  </si>
  <si>
    <t>Mobilier de bureau ADMINISTRATION</t>
  </si>
  <si>
    <t>244700</t>
  </si>
  <si>
    <t>Materiel &amp; Mobilier logements perso</t>
  </si>
  <si>
    <t>244703</t>
  </si>
  <si>
    <t>Materiel &amp; Mobilier logements perso PEPINIERE</t>
  </si>
  <si>
    <t>244704</t>
  </si>
  <si>
    <t>Materiel &amp; Mobilier logements perso ADMINISTRATION</t>
  </si>
  <si>
    <t>245100</t>
  </si>
  <si>
    <t>Materiel Automobile</t>
  </si>
  <si>
    <t>245101</t>
  </si>
  <si>
    <t>Materiel Automobile USINE</t>
  </si>
  <si>
    <t>245102</t>
  </si>
  <si>
    <t>Materiel Automobile AGRICULTURE</t>
  </si>
  <si>
    <t>245103</t>
  </si>
  <si>
    <t>Materiel Automobile PEPINIERE</t>
  </si>
  <si>
    <t>245104</t>
  </si>
  <si>
    <t>Materiel Automobile ADMINISTRATION</t>
  </si>
  <si>
    <t>245120</t>
  </si>
  <si>
    <t>Matériel de transport camion</t>
  </si>
  <si>
    <t>245700</t>
  </si>
  <si>
    <t>Materiel de T.P.</t>
  </si>
  <si>
    <t>245800</t>
  </si>
  <si>
    <t>Autres materiel trspt (velo,moto,mo</t>
  </si>
  <si>
    <t>245801</t>
  </si>
  <si>
    <t>Autres materiel trspt (velo,moto,mo...) USINE</t>
  </si>
  <si>
    <t>245802</t>
  </si>
  <si>
    <t>Autres materiel trspt (velo,moto,mo…) AGRICULTURE</t>
  </si>
  <si>
    <t>245803</t>
  </si>
  <si>
    <t>Autres materiel trspt (velo,moto,mo…) PEPINIERE</t>
  </si>
  <si>
    <t>246500</t>
  </si>
  <si>
    <t>Immobilisations Animales Et Agricoles</t>
  </si>
  <si>
    <t>249100</t>
  </si>
  <si>
    <t>Materiel Et Outil. Indust. Et Commercial En Cours</t>
  </si>
  <si>
    <t>249500</t>
  </si>
  <si>
    <t>materiel transport en-cours</t>
  </si>
  <si>
    <t>249600</t>
  </si>
  <si>
    <t>Immobilisations Animales Et Agricoles EN-COURS</t>
  </si>
  <si>
    <t>249800</t>
  </si>
  <si>
    <t>Autres Matériel En Cours</t>
  </si>
  <si>
    <t>249900</t>
  </si>
  <si>
    <t>Immobilisation Incorporelles En Cours</t>
  </si>
  <si>
    <t>252000</t>
  </si>
  <si>
    <t>Avance Sur Immobilisation Corporell</t>
  </si>
  <si>
    <t>252100</t>
  </si>
  <si>
    <t>Avance PONT BASCULE</t>
  </si>
  <si>
    <t>275100</t>
  </si>
  <si>
    <t>Depots &amp; Cautions Loyer</t>
  </si>
  <si>
    <t>275230</t>
  </si>
  <si>
    <t>Depots &amp; Cautions Eau</t>
  </si>
  <si>
    <t>275240</t>
  </si>
  <si>
    <t>Depots &amp; Cautions Electricite</t>
  </si>
  <si>
    <t>275810</t>
  </si>
  <si>
    <t>Autres Depots &amp; Cautions Adm.</t>
  </si>
  <si>
    <t>281110</t>
  </si>
  <si>
    <t>Amortismt Frais Recherche et Développement</t>
  </si>
  <si>
    <t>281310</t>
  </si>
  <si>
    <t>Amortismt des Logiciels</t>
  </si>
  <si>
    <t>281810</t>
  </si>
  <si>
    <t>Amortissements des Autres Valeurs Incorporelles</t>
  </si>
  <si>
    <t>283810</t>
  </si>
  <si>
    <t>Amortismt Autres Instal. &amp; agencemt</t>
  </si>
  <si>
    <t>284210</t>
  </si>
  <si>
    <t>Amortismt Mat. &amp; Outil. Agricole</t>
  </si>
  <si>
    <t>284410</t>
  </si>
  <si>
    <t>Amortismt Materiel &amp; Mobilier</t>
  </si>
  <si>
    <t>284510</t>
  </si>
  <si>
    <t>Amortismt Materiel Transport</t>
  </si>
  <si>
    <t>284511</t>
  </si>
  <si>
    <t>Amortismt Materiel Transport USINE</t>
  </si>
  <si>
    <t>284512</t>
  </si>
  <si>
    <t>Amortismt Materiel Transport AGRICULTURE</t>
  </si>
  <si>
    <t>284513</t>
  </si>
  <si>
    <t>Amortismt Materiel Transport PEPINIERE</t>
  </si>
  <si>
    <t>284514</t>
  </si>
  <si>
    <t>Amortismt Materiel Transport ADMINISTRATION</t>
  </si>
  <si>
    <t>284600</t>
  </si>
  <si>
    <t>Amortissements Des Immob. Animales Et Agricoles</t>
  </si>
  <si>
    <t>321100</t>
  </si>
  <si>
    <t>Stocks de Matieres 1eres &amp; Fournitu</t>
  </si>
  <si>
    <t>331000</t>
  </si>
  <si>
    <t>Stock de Matières Consommables</t>
  </si>
  <si>
    <t>331300</t>
  </si>
  <si>
    <t>Stock Intrant</t>
  </si>
  <si>
    <t>331400</t>
  </si>
  <si>
    <t>Stock Engrais</t>
  </si>
  <si>
    <t>331500</t>
  </si>
  <si>
    <t>Stock Sachet</t>
  </si>
  <si>
    <t>331600</t>
  </si>
  <si>
    <t>Stock Gasoil</t>
  </si>
  <si>
    <t>332000</t>
  </si>
  <si>
    <t>Stock Fournitures d'Atelier et d'Usine</t>
  </si>
  <si>
    <t>332200</t>
  </si>
  <si>
    <t>Stock Petit Matériel Pép et Agri</t>
  </si>
  <si>
    <t>361100</t>
  </si>
  <si>
    <t>Stock Huile Palme</t>
  </si>
  <si>
    <t>361200</t>
  </si>
  <si>
    <t>Stock d'Huile de palmiste</t>
  </si>
  <si>
    <t>371100</t>
  </si>
  <si>
    <t>STOCK DE PLAN</t>
  </si>
  <si>
    <t>372120</t>
  </si>
  <si>
    <t>Stock de tourteaux</t>
  </si>
  <si>
    <t>401100</t>
  </si>
  <si>
    <t>Fournisseurs Produits</t>
  </si>
  <si>
    <t>401101</t>
  </si>
  <si>
    <t>Fournisseurs PI Suspendues</t>
  </si>
  <si>
    <t>401120</t>
  </si>
  <si>
    <t>Fournisseurs Transport s/Produits</t>
  </si>
  <si>
    <t>401160</t>
  </si>
  <si>
    <t>Fournisseurs Divers Locaux (Hors Produits)</t>
  </si>
  <si>
    <t>401180</t>
  </si>
  <si>
    <t>Fournisseurs Etrangers Hors UEMOA</t>
  </si>
  <si>
    <t>401190</t>
  </si>
  <si>
    <t>Fournisseurs Debiteurs-Caisse</t>
  </si>
  <si>
    <t>402100</t>
  </si>
  <si>
    <t>Fournisseurs, Effets a Payer</t>
  </si>
  <si>
    <t>408000</t>
  </si>
  <si>
    <t>Fournisseurs Factures Non Parvenues</t>
  </si>
  <si>
    <t>409102</t>
  </si>
  <si>
    <t>PLANTEURS PI PRETS</t>
  </si>
  <si>
    <t>409110</t>
  </si>
  <si>
    <t>F/RS Avances &amp; Acptes Verses /Cdes</t>
  </si>
  <si>
    <t>409111</t>
  </si>
  <si>
    <t>AHATTE ADJE EMMANUEL/PI-A33</t>
  </si>
  <si>
    <t>409114</t>
  </si>
  <si>
    <t>KONE DRISSA</t>
  </si>
  <si>
    <t>409117</t>
  </si>
  <si>
    <t>Coopplato /appui financier</t>
  </si>
  <si>
    <t>409120</t>
  </si>
  <si>
    <t>VASCONSERVE Avce/achat de produit</t>
  </si>
  <si>
    <t>409130</t>
  </si>
  <si>
    <t>CNPH Avce/Achat de produit</t>
  </si>
  <si>
    <t>409135</t>
  </si>
  <si>
    <t>COOPALM ADOUVLAIS/Avce sur achat de produit</t>
  </si>
  <si>
    <t>409140</t>
  </si>
  <si>
    <t>COOPALEN Avce /acht de produit</t>
  </si>
  <si>
    <t>409150</t>
  </si>
  <si>
    <t>COOPHA-ADJOUAN Avce/Acht de produit</t>
  </si>
  <si>
    <t>411200</t>
  </si>
  <si>
    <t>Clients Agricoles Locaux</t>
  </si>
  <si>
    <t>411300</t>
  </si>
  <si>
    <t>Clients Industries Locaux</t>
  </si>
  <si>
    <t>412100</t>
  </si>
  <si>
    <t>Clients,effets à recevoir(EAR) en portefeuille</t>
  </si>
  <si>
    <t>415100</t>
  </si>
  <si>
    <t>BACI-Effet escompté</t>
  </si>
  <si>
    <t>415110</t>
  </si>
  <si>
    <t>BDA-Effet escompté</t>
  </si>
  <si>
    <t>415120</t>
  </si>
  <si>
    <t>BRIDGE -Effet Escompte</t>
  </si>
  <si>
    <t>415200</t>
  </si>
  <si>
    <t>BNI-Effet escompté</t>
  </si>
  <si>
    <t>415400</t>
  </si>
  <si>
    <t>SGBCI- Effet escompté</t>
  </si>
  <si>
    <t>415500</t>
  </si>
  <si>
    <t>BGFI-Effet escompté</t>
  </si>
  <si>
    <t>415900</t>
  </si>
  <si>
    <t>SIB-Effet escompté</t>
  </si>
  <si>
    <t>416200</t>
  </si>
  <si>
    <t>CREANCES DOUTEUSES</t>
  </si>
  <si>
    <t>421006</t>
  </si>
  <si>
    <t>Personnel Petit Cash</t>
  </si>
  <si>
    <t>421100</t>
  </si>
  <si>
    <t>pret exceptionnel</t>
  </si>
  <si>
    <t>421101</t>
  </si>
  <si>
    <t>pret exceptionnel USINE</t>
  </si>
  <si>
    <t>421102</t>
  </si>
  <si>
    <t>pret exceptionnel AGRI</t>
  </si>
  <si>
    <t>421105</t>
  </si>
  <si>
    <t>PRETS PERSONNEL</t>
  </si>
  <si>
    <t>421190</t>
  </si>
  <si>
    <t>Prêts MANOUAN KADJO EUGENE</t>
  </si>
  <si>
    <t>421200</t>
  </si>
  <si>
    <t>Personnel, Acomptes</t>
  </si>
  <si>
    <t>421574</t>
  </si>
  <si>
    <t>Prêts KOUAKOU KONAN LANDRY</t>
  </si>
  <si>
    <t>421627</t>
  </si>
  <si>
    <t>Prêts YOHOU PLACIDE ORE</t>
  </si>
  <si>
    <t>421628</t>
  </si>
  <si>
    <t>Prêts ANANDO MICHEL SANIN</t>
  </si>
  <si>
    <t>422100</t>
  </si>
  <si>
    <t>Personnel National, Remunerat. Dues</t>
  </si>
  <si>
    <t>422101</t>
  </si>
  <si>
    <t>Personnel National, Remunerat. Dues USINE</t>
  </si>
  <si>
    <t>422102</t>
  </si>
  <si>
    <t>Personnel National, Remunerat. Dues AGRICULTURE</t>
  </si>
  <si>
    <t>422103</t>
  </si>
  <si>
    <t>Personnel National, Remunerat. Dues PEPINIERE</t>
  </si>
  <si>
    <t>422104</t>
  </si>
  <si>
    <t>Personnel National, Remunerat. Dues ADMINISTRATION</t>
  </si>
  <si>
    <t>422120</t>
  </si>
  <si>
    <t>Personnel Journalier Remunerat. Dues</t>
  </si>
  <si>
    <t>422121</t>
  </si>
  <si>
    <t>Personnel Journalier Remunerat. Dues USINE</t>
  </si>
  <si>
    <t>422122</t>
  </si>
  <si>
    <t>Personnel Journalier Remunerat. Dues AGRICULTURE</t>
  </si>
  <si>
    <t>422123</t>
  </si>
  <si>
    <t>Personnel Journalier Remunerat. Dues PEPINIERE</t>
  </si>
  <si>
    <t>422124</t>
  </si>
  <si>
    <t>Personnel Journalier Remunerat. Dues ADMINISTRATIO</t>
  </si>
  <si>
    <t>428100</t>
  </si>
  <si>
    <t>Dettes Provisionnees pour conges a Payer</t>
  </si>
  <si>
    <t>428104</t>
  </si>
  <si>
    <t>Dettes Provisionnees pour conges a Payer ADMINISTR</t>
  </si>
  <si>
    <t>428600</t>
  </si>
  <si>
    <t>Personnel,Autres charges provisionnées à payer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</si>
  <si>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</si>
  <si>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</si>
  <si>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</si>
  <si>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</si>
  <si>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</si>
  <si>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</si>
  <si>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431537</t>
  </si>
  <si>
    <t>Prêts BEFRELI AHOUSSI</t>
  </si>
  <si>
    <t>431800</t>
  </si>
  <si>
    <t>Autres Cotisations Sociales</t>
  </si>
  <si>
    <t>433100</t>
  </si>
  <si>
    <t>Prelevement Mutuelle MADEKEL</t>
  </si>
  <si>
    <t>433200</t>
  </si>
  <si>
    <t>Prelevement Syndical</t>
  </si>
  <si>
    <t>433300</t>
  </si>
  <si>
    <t>Cotisation CMU - CNAM</t>
  </si>
  <si>
    <t>442100</t>
  </si>
  <si>
    <t>Retenu Impôt 1.5%</t>
  </si>
  <si>
    <t>442200</t>
  </si>
  <si>
    <t>Retenue/OPA/FENACOPAHCI</t>
  </si>
  <si>
    <t>442300</t>
  </si>
  <si>
    <t>Retenue FIRCA</t>
  </si>
  <si>
    <t>442400</t>
  </si>
  <si>
    <t>Retenue AIPH</t>
  </si>
  <si>
    <t>442500</t>
  </si>
  <si>
    <t>APROSAPCI</t>
  </si>
  <si>
    <t>442800</t>
  </si>
  <si>
    <t>Autres Impots &amp; Taxes Agricole</t>
  </si>
  <si>
    <t>442810</t>
  </si>
  <si>
    <t>Taxe Speciale d'Equipement</t>
  </si>
  <si>
    <t>443100</t>
  </si>
  <si>
    <t>T.V.A. facturee sur ventes</t>
  </si>
  <si>
    <t>444100</t>
  </si>
  <si>
    <t>Etat, T.V.A. due</t>
  </si>
  <si>
    <t>447000</t>
  </si>
  <si>
    <t>Retenue Impôt 7.5%</t>
  </si>
  <si>
    <t>447100</t>
  </si>
  <si>
    <t>Impot general sur le revenu</t>
  </si>
  <si>
    <t>447104</t>
  </si>
  <si>
    <t>Impot general sur le revenu ADMIN</t>
  </si>
  <si>
    <t>447200</t>
  </si>
  <si>
    <t>Impots sur salaire</t>
  </si>
  <si>
    <t>447300</t>
  </si>
  <si>
    <t>Contribution nationale</t>
  </si>
  <si>
    <t>447304</t>
  </si>
  <si>
    <t>Contribution nationale ADMIN</t>
  </si>
  <si>
    <t>447810</t>
  </si>
  <si>
    <t>Etat, FDFP-TA</t>
  </si>
  <si>
    <t>447814</t>
  </si>
  <si>
    <t>Etat, FDFP-TA ADMIN</t>
  </si>
  <si>
    <t>447820</t>
  </si>
  <si>
    <t>Etat, FDFP-FPC</t>
  </si>
  <si>
    <t>447840</t>
  </si>
  <si>
    <t>impôt acompte 15%</t>
  </si>
  <si>
    <t>449980</t>
  </si>
  <si>
    <t>Etat, Dettes à Payer</t>
  </si>
  <si>
    <t>466700</t>
  </si>
  <si>
    <t>Compte Courant DEKEL SIVA</t>
  </si>
  <si>
    <t>466800</t>
  </si>
  <si>
    <t>Compte Courant SIVA BLOQUE</t>
  </si>
  <si>
    <t>466900</t>
  </si>
  <si>
    <t>Compte Courant CAPRO CI</t>
  </si>
  <si>
    <t>466910</t>
  </si>
  <si>
    <t>Compte Courant AGRICI</t>
  </si>
  <si>
    <t>471012</t>
  </si>
  <si>
    <t>Debiteurs Divers - Projet Plants AIPH</t>
  </si>
  <si>
    <t>471080</t>
  </si>
  <si>
    <t>N'GUETTIA KOUADIO THOMAS</t>
  </si>
  <si>
    <t>471081</t>
  </si>
  <si>
    <t>N'ZUE ARSENE BLANCHARD</t>
  </si>
  <si>
    <t>471082</t>
  </si>
  <si>
    <t>AISSAN ACKAH BEATRICE</t>
  </si>
  <si>
    <t>471083</t>
  </si>
  <si>
    <t>COULIBALY FOUGNIGUE</t>
  </si>
  <si>
    <t>471084</t>
  </si>
  <si>
    <t>N'GUESSAN ANGELE</t>
  </si>
  <si>
    <t>471085</t>
  </si>
  <si>
    <t>KOUAKOU LARISSA</t>
  </si>
  <si>
    <t>471086</t>
  </si>
  <si>
    <t>N'DRAMAN ABOUKAN</t>
  </si>
  <si>
    <t>471087</t>
  </si>
  <si>
    <t>ESSE KOUADIO ALEXANDRE</t>
  </si>
  <si>
    <t>471088</t>
  </si>
  <si>
    <t>ANOH AKA SYLVAIN</t>
  </si>
  <si>
    <t>471089</t>
  </si>
  <si>
    <t>ZIE LASSINA COULIBALY</t>
  </si>
  <si>
    <t>471090</t>
  </si>
  <si>
    <t>YAO KOFFI MAURICE</t>
  </si>
  <si>
    <t>471091</t>
  </si>
  <si>
    <t>TIDOU BI KOUE MARTIAL</t>
  </si>
  <si>
    <t>471092</t>
  </si>
  <si>
    <t>NOGBOU NOGBOU JEAN CLAUDE</t>
  </si>
  <si>
    <t>471093</t>
  </si>
  <si>
    <t>N'GUESSAN KOUADIO CHARLES</t>
  </si>
  <si>
    <t>471094</t>
  </si>
  <si>
    <t>BIRE ADAMA</t>
  </si>
  <si>
    <t>471095</t>
  </si>
  <si>
    <t>EZOUA ROKIATOU</t>
  </si>
  <si>
    <t>471096</t>
  </si>
  <si>
    <t>EHUI OUADJA EHUI ANDRE</t>
  </si>
  <si>
    <t>471097</t>
  </si>
  <si>
    <t>KOUASSI KANGAH JEAN FRANCOIS</t>
  </si>
  <si>
    <t>471098</t>
  </si>
  <si>
    <t>KOUADIO KOUAKOU NARCISSE</t>
  </si>
  <si>
    <t>471099</t>
  </si>
  <si>
    <t>KONAN N'GUESSAN SERAPHIN</t>
  </si>
  <si>
    <t>471100</t>
  </si>
  <si>
    <t>Debiteurs Divers</t>
  </si>
  <si>
    <t>471114</t>
  </si>
  <si>
    <t>Mr IDO Petit Cash</t>
  </si>
  <si>
    <t>471190</t>
  </si>
  <si>
    <t>AMNON RASIN</t>
  </si>
  <si>
    <t>471194</t>
  </si>
  <si>
    <t>Caisse KOFFI KOUAKOU</t>
  </si>
  <si>
    <t>471196</t>
  </si>
  <si>
    <t>Caisse KOUADIO NORBERT</t>
  </si>
  <si>
    <t>471197</t>
  </si>
  <si>
    <t>Caisse KOUAME PASCAL</t>
  </si>
  <si>
    <t>471198</t>
  </si>
  <si>
    <t>Caisse BLISSA PIERRE</t>
  </si>
  <si>
    <t>471199</t>
  </si>
  <si>
    <t>Caisse GUINIGNON AUBIN</t>
  </si>
  <si>
    <t>471200</t>
  </si>
  <si>
    <t>Créditeurs divers gasoil</t>
  </si>
  <si>
    <t>476200</t>
  </si>
  <si>
    <t>Charges Constatees d'Avances</t>
  </si>
  <si>
    <t>477700</t>
  </si>
  <si>
    <t>BILLETS MUTILLES CAISSE</t>
  </si>
  <si>
    <t>477766</t>
  </si>
  <si>
    <t>PAIE ACHAT COMPTANT MALAMALAKRO</t>
  </si>
  <si>
    <t>477767</t>
  </si>
  <si>
    <t>PAIE ACHAT COMPTANT BAFIA</t>
  </si>
  <si>
    <t>477768</t>
  </si>
  <si>
    <t>PAIE ACHAT COMPTANT JERUSALEM</t>
  </si>
  <si>
    <t>477769</t>
  </si>
  <si>
    <t>PAIE ACHAT COMPTANT TIAPOUM</t>
  </si>
  <si>
    <t>477770</t>
  </si>
  <si>
    <t>PAIE ACHAT COMPTANT CL ETUEBOUE</t>
  </si>
  <si>
    <t>477771</t>
  </si>
  <si>
    <t>PAIE ACHAT COMPTANT CL AYENOUAN</t>
  </si>
  <si>
    <t>477772</t>
  </si>
  <si>
    <t>PAIE ACHAT COMPTANT CL EBOUE</t>
  </si>
  <si>
    <t>477773</t>
  </si>
  <si>
    <t>PAIE ACHAT COMPTANT CL ALLAKRO</t>
  </si>
  <si>
    <t>477774</t>
  </si>
  <si>
    <t>PAIE ACHAT COMPTANT CL ADIAKE</t>
  </si>
  <si>
    <t>477775</t>
  </si>
  <si>
    <t>PAIE BULLETINS PLANTEURS</t>
  </si>
  <si>
    <t>477776</t>
  </si>
  <si>
    <t>PAIE BULLETINS TRANSPORTEURS</t>
  </si>
  <si>
    <t>491200</t>
  </si>
  <si>
    <t>Dépréciation des  créances douteuses</t>
  </si>
  <si>
    <t>499100</t>
  </si>
  <si>
    <t>Risques prov./ opérat° d’exploitation</t>
  </si>
  <si>
    <t>513100</t>
  </si>
  <si>
    <t>CHEQUES A ENCAISSER</t>
  </si>
  <si>
    <t>514100</t>
  </si>
  <si>
    <t>BACI-Chèque à l'Encaissement</t>
  </si>
  <si>
    <t>521010</t>
  </si>
  <si>
    <t>BDA</t>
  </si>
  <si>
    <t>521011</t>
  </si>
  <si>
    <t>BDA- COMPTE SEQUESTRE</t>
  </si>
  <si>
    <t>521012</t>
  </si>
  <si>
    <t>BDA- COMPTE DE RESERVE</t>
  </si>
  <si>
    <t>521020</t>
  </si>
  <si>
    <t>BRIDGE BANK GROUP</t>
  </si>
  <si>
    <t>521100</t>
  </si>
  <si>
    <t>BACI</t>
  </si>
  <si>
    <t>521110</t>
  </si>
  <si>
    <t>BACI SEQUESTRE</t>
  </si>
  <si>
    <t>521200</t>
  </si>
  <si>
    <t>BNI</t>
  </si>
  <si>
    <t>521400</t>
  </si>
  <si>
    <t>S.G.B.C.I.</t>
  </si>
  <si>
    <t>521410</t>
  </si>
  <si>
    <t>S.G.B.C.I. -RBST EMPRUNT SOGEBOURSE</t>
  </si>
  <si>
    <t>521420</t>
  </si>
  <si>
    <t>S.G.B.C.I. RBSMT EMPRUNT SOGEBOURSE 2</t>
  </si>
  <si>
    <t>521430</t>
  </si>
  <si>
    <t>SGBCI GARANTIE DEPOT</t>
  </si>
  <si>
    <t>521440</t>
  </si>
  <si>
    <t>SGCI BUSINESS CARD</t>
  </si>
  <si>
    <t>521500</t>
  </si>
  <si>
    <t>BGFI</t>
  </si>
  <si>
    <t>521510</t>
  </si>
  <si>
    <t>BGFI-Dépot à terme</t>
  </si>
  <si>
    <t>521530</t>
  </si>
  <si>
    <t>BGFI GARANTIE DEPOT</t>
  </si>
  <si>
    <t>521540</t>
  </si>
  <si>
    <t>BGFI- PROJET PLANTS AIPH</t>
  </si>
  <si>
    <t>521600</t>
  </si>
  <si>
    <t>ORABANK</t>
  </si>
  <si>
    <t>521700</t>
  </si>
  <si>
    <t>GT BANK</t>
  </si>
  <si>
    <t>521800</t>
  </si>
  <si>
    <t>NSIA BANQUE</t>
  </si>
  <si>
    <t>521810</t>
  </si>
  <si>
    <t>NSIA BANQUE Dépot A Terme</t>
  </si>
  <si>
    <t>521900</t>
  </si>
  <si>
    <t>S.I.B</t>
  </si>
  <si>
    <t>533100</t>
  </si>
  <si>
    <t>SGI-SOGEBOURSE</t>
  </si>
  <si>
    <t>565010</t>
  </si>
  <si>
    <t>BDA - ESCOMPTE DE CREDITS ORDINAIRES</t>
  </si>
  <si>
    <t>565011</t>
  </si>
  <si>
    <t>BACI-ESCOMPTE DE CREDITS ORDINAIRES</t>
  </si>
  <si>
    <t>565020</t>
  </si>
  <si>
    <t>BNI-ESCOMPTE DE CREDITS ORDINAIRES</t>
  </si>
  <si>
    <t>565040</t>
  </si>
  <si>
    <t>SGCI-ESCOMPTE DE CREDITS ORDINAIRES</t>
  </si>
  <si>
    <t>565050</t>
  </si>
  <si>
    <t>BGFI-ESCOMPTE DE CREDITS ORDINAIRES</t>
  </si>
  <si>
    <t>565090</t>
  </si>
  <si>
    <t>SIB-ESCOMPTE DE CREDITS ORDINAIRES</t>
  </si>
  <si>
    <t>571000</t>
  </si>
  <si>
    <t>CAISSE SIEGE SOCIALE</t>
  </si>
  <si>
    <t>571100</t>
  </si>
  <si>
    <t>Caisse en francs CFA</t>
  </si>
  <si>
    <t>571200</t>
  </si>
  <si>
    <t>CAISSE EURO</t>
  </si>
  <si>
    <t>571300</t>
  </si>
  <si>
    <t>CAISSE DOLLARS</t>
  </si>
  <si>
    <t>571400</t>
  </si>
  <si>
    <t>Caisse en Cedi</t>
  </si>
  <si>
    <t>571500</t>
  </si>
  <si>
    <t>Caisse Pepiniere</t>
  </si>
  <si>
    <t>571600</t>
  </si>
  <si>
    <t>Caisse Abidjan</t>
  </si>
  <si>
    <t>581000</t>
  </si>
  <si>
    <t>Regies D'avance</t>
  </si>
  <si>
    <t>588000</t>
  </si>
  <si>
    <t>AUTRES VIREMENTS INTERNES</t>
  </si>
  <si>
    <t>601100</t>
  </si>
  <si>
    <t>Achats Marchandises dans l'UEMOA</t>
  </si>
  <si>
    <t>601110</t>
  </si>
  <si>
    <t>Achat de Plant de Palmier à huile</t>
  </si>
  <si>
    <t>601210</t>
  </si>
  <si>
    <t>Achats de Marchandises Hors UEMOA</t>
  </si>
  <si>
    <t>602000</t>
  </si>
  <si>
    <t>ACHATS REGIMES DE PALME</t>
  </si>
  <si>
    <t>602100</t>
  </si>
  <si>
    <t>Achats Mat.1eres dans UEMOA</t>
  </si>
  <si>
    <t>602110</t>
  </si>
  <si>
    <t>Achat de Noix de Palmiste</t>
  </si>
  <si>
    <t>602300</t>
  </si>
  <si>
    <t>PRIME QUALITE</t>
  </si>
  <si>
    <t>602310</t>
  </si>
  <si>
    <t>Prime Motivation Planteurs</t>
  </si>
  <si>
    <t>602400</t>
  </si>
  <si>
    <t>Bonus Coopérative</t>
  </si>
  <si>
    <t>602500</t>
  </si>
  <si>
    <t>Frais sur Achats de Regimes</t>
  </si>
  <si>
    <t>602510</t>
  </si>
  <si>
    <t>Frais sur Achats Palmiste</t>
  </si>
  <si>
    <t>602600</t>
  </si>
  <si>
    <t>Bonus achat Direct</t>
  </si>
  <si>
    <t>602700</t>
  </si>
  <si>
    <t>Bonus Grand-Planteur</t>
  </si>
  <si>
    <t>602800</t>
  </si>
  <si>
    <t>Bonus Annuel Gros Acheteurs</t>
  </si>
  <si>
    <t>602900</t>
  </si>
  <si>
    <t>Prime aux Transporteurs</t>
  </si>
  <si>
    <t>602910</t>
  </si>
  <si>
    <t>PRIME TRANSP PRE COLLECTE</t>
  </si>
  <si>
    <t>603212</t>
  </si>
  <si>
    <t>Variation de Stock Noix de Palmiste</t>
  </si>
  <si>
    <t>603220</t>
  </si>
  <si>
    <t>Variation Stocks Matieres 1ere &amp; Fo</t>
  </si>
  <si>
    <t>603310</t>
  </si>
  <si>
    <t>Variation de Stock Matière Consommable</t>
  </si>
  <si>
    <t>603313</t>
  </si>
  <si>
    <t>Variation Stock Intrant</t>
  </si>
  <si>
    <t>603314</t>
  </si>
  <si>
    <t>Variation Stock Engrais</t>
  </si>
  <si>
    <t>603315</t>
  </si>
  <si>
    <t>Variation de Stock Sachet</t>
  </si>
  <si>
    <t>603316</t>
  </si>
  <si>
    <t>Variation de stock de Gasoil</t>
  </si>
  <si>
    <t>603320</t>
  </si>
  <si>
    <t>Variation de Stock Fournitures d'Atelier etd'Usine</t>
  </si>
  <si>
    <t>603322</t>
  </si>
  <si>
    <t>Variation Stock petit matériel pép et agri</t>
  </si>
  <si>
    <t>604150</t>
  </si>
  <si>
    <t>Matieres Consommables Pepiniere</t>
  </si>
  <si>
    <t>604151</t>
  </si>
  <si>
    <t>Matiere Consommable Agriculture</t>
  </si>
  <si>
    <t>604152</t>
  </si>
  <si>
    <t>Transport Matiere Consommable Pepiere</t>
  </si>
  <si>
    <t>604153</t>
  </si>
  <si>
    <t>Transport Matiere Consommable Agriculture</t>
  </si>
  <si>
    <t>604200</t>
  </si>
  <si>
    <t>Matiere Combustible</t>
  </si>
  <si>
    <t>604201</t>
  </si>
  <si>
    <t>Matiere Combustible USINE</t>
  </si>
  <si>
    <t>604204</t>
  </si>
  <si>
    <t>Matiere Combustible ADMINISTRATION</t>
  </si>
  <si>
    <t>604211</t>
  </si>
  <si>
    <t>Transport Matiere Combustible Usine</t>
  </si>
  <si>
    <t>604330</t>
  </si>
  <si>
    <t>Produits d'entretien Usine</t>
  </si>
  <si>
    <t>604331</t>
  </si>
  <si>
    <t>604332</t>
  </si>
  <si>
    <t>Produits d'entretien AGRICULTURE</t>
  </si>
  <si>
    <t>604334</t>
  </si>
  <si>
    <t>Produits d'entretien ADMINISTRATION</t>
  </si>
  <si>
    <t>604520</t>
  </si>
  <si>
    <t>Fourniture de Laboratoire</t>
  </si>
  <si>
    <t>604530</t>
  </si>
  <si>
    <t>Produit de Laboratoire</t>
  </si>
  <si>
    <t>605011</t>
  </si>
  <si>
    <t>Gaz USINE</t>
  </si>
  <si>
    <t>605012</t>
  </si>
  <si>
    <t>Gaz AGRICULTURE</t>
  </si>
  <si>
    <t>605013</t>
  </si>
  <si>
    <t>Gaz PEPINIERE</t>
  </si>
  <si>
    <t>605014</t>
  </si>
  <si>
    <t>Gaz ADMINISTRATION</t>
  </si>
  <si>
    <t>605110</t>
  </si>
  <si>
    <t>Eau</t>
  </si>
  <si>
    <t>605111</t>
  </si>
  <si>
    <t>Eau USINE</t>
  </si>
  <si>
    <t>605112</t>
  </si>
  <si>
    <t>Eau AGRICULTURE</t>
  </si>
  <si>
    <t>605113</t>
  </si>
  <si>
    <t>Eau PEPINIERE</t>
  </si>
  <si>
    <t>605114</t>
  </si>
  <si>
    <t>Eau ADMINISTRATION</t>
  </si>
  <si>
    <t>605210</t>
  </si>
  <si>
    <t>Electricite</t>
  </si>
  <si>
    <t>605211</t>
  </si>
  <si>
    <t>Electricite USINE</t>
  </si>
  <si>
    <t>605212</t>
  </si>
  <si>
    <t>Electricite AGRICULTURE</t>
  </si>
  <si>
    <t>605213</t>
  </si>
  <si>
    <t>Electricite PEPINIERE</t>
  </si>
  <si>
    <t>605214</t>
  </si>
  <si>
    <t>Electricite ADMINISTRATION</t>
  </si>
  <si>
    <t>605215</t>
  </si>
  <si>
    <t>Electricite Pepiniere Dabou</t>
  </si>
  <si>
    <t>605310</t>
  </si>
  <si>
    <t>Carburant-Gazoil</t>
  </si>
  <si>
    <t>605311</t>
  </si>
  <si>
    <t>Carburant-Gazoil USINE</t>
  </si>
  <si>
    <t>605312</t>
  </si>
  <si>
    <t>Carburant-Gazoil AGRICULTURE</t>
  </si>
  <si>
    <t>605313</t>
  </si>
  <si>
    <t>Carburant-Gazoil PEPINIERE</t>
  </si>
  <si>
    <t>605314</t>
  </si>
  <si>
    <t>Carburant-Gazoil ADMINISTRATION</t>
  </si>
  <si>
    <t>605315</t>
  </si>
  <si>
    <t>Carburant Pepiniere Dabou</t>
  </si>
  <si>
    <t>605410</t>
  </si>
  <si>
    <t>Fournitures d'entretien</t>
  </si>
  <si>
    <t>605411</t>
  </si>
  <si>
    <t>Fournitures d'entretien USINE</t>
  </si>
  <si>
    <t>605412</t>
  </si>
  <si>
    <t>Fournitures d'entretien AGRICULTURE</t>
  </si>
  <si>
    <t>605413</t>
  </si>
  <si>
    <t>Fournitures d'entretien PEPINERE</t>
  </si>
  <si>
    <t>605414</t>
  </si>
  <si>
    <t>Fournitures d'entretien ADMINISTRATION</t>
  </si>
  <si>
    <t>605510</t>
  </si>
  <si>
    <t>Fournitures de Bureau Administration</t>
  </si>
  <si>
    <t>605511</t>
  </si>
  <si>
    <t>Fourniture de bureau Usine</t>
  </si>
  <si>
    <t>605512</t>
  </si>
  <si>
    <t>Fourniture de bureau Agriculture</t>
  </si>
  <si>
    <t>605513</t>
  </si>
  <si>
    <t>Fourniture de bureau Pepinière</t>
  </si>
  <si>
    <t>605610</t>
  </si>
  <si>
    <t>Achats petit Mat. &amp; Outillage</t>
  </si>
  <si>
    <t>605611</t>
  </si>
  <si>
    <t>Achats petit Mat. &amp; Outillage USINE</t>
  </si>
  <si>
    <t>605612</t>
  </si>
  <si>
    <t>Achats petit Mat. &amp; Outillage AGRICULTURE</t>
  </si>
  <si>
    <t>605613</t>
  </si>
  <si>
    <t>Achats petit Mat. &amp; Outillage PEPINIERE</t>
  </si>
  <si>
    <t>605614</t>
  </si>
  <si>
    <t>Achats petit Mat. &amp; Outillage ADMINISTRATION</t>
  </si>
  <si>
    <t>605615</t>
  </si>
  <si>
    <t>Achats petits Mat. &amp; Outillage PEPINIERE Dabou</t>
  </si>
  <si>
    <t>605620</t>
  </si>
  <si>
    <t>Petits Materiels Informatique</t>
  </si>
  <si>
    <t>605630</t>
  </si>
  <si>
    <t>Petits materiel et outillage Usine</t>
  </si>
  <si>
    <t>605631</t>
  </si>
  <si>
    <t>Frais de Transitaire</t>
  </si>
  <si>
    <t>605632</t>
  </si>
  <si>
    <t>Droit de Douane Petits Materiels Usine</t>
  </si>
  <si>
    <t>605633</t>
  </si>
  <si>
    <t>Frais Transport/Achat Petits Mat Usine</t>
  </si>
  <si>
    <t>605670</t>
  </si>
  <si>
    <t>Matériel de sécurité</t>
  </si>
  <si>
    <t>605710</t>
  </si>
  <si>
    <t>Achats d'Etudes &amp; Prest. Sces</t>
  </si>
  <si>
    <t>605711</t>
  </si>
  <si>
    <t>Achats d'Etudes &amp; Prest. Sces USINE</t>
  </si>
  <si>
    <t>605712</t>
  </si>
  <si>
    <t>Achats d'Etudes &amp; Prest. Sces AGRICULTURE</t>
  </si>
  <si>
    <t>605713</t>
  </si>
  <si>
    <t>Achats d'Etudes &amp; Prest. Sces PEPINIERE</t>
  </si>
  <si>
    <t>605714</t>
  </si>
  <si>
    <t>Achats d'Etudes &amp; Prest. Sces ADMINISTRATION</t>
  </si>
  <si>
    <t>605730</t>
  </si>
  <si>
    <t>Achat d'Etude &amp; prest. Sces Usine</t>
  </si>
  <si>
    <t>605780</t>
  </si>
  <si>
    <t>Matériels, Medicaments et Equipements Infirmerie</t>
  </si>
  <si>
    <t>605810</t>
  </si>
  <si>
    <t>Achat Travx, Mat. &amp; Equipmt</t>
  </si>
  <si>
    <t>605811</t>
  </si>
  <si>
    <t>Achat Travx, Mat. &amp; Equipmt USINE</t>
  </si>
  <si>
    <t>605812</t>
  </si>
  <si>
    <t>Achat Travx, Mat. &amp; Equipmt AGRICULTURE</t>
  </si>
  <si>
    <t>605813</t>
  </si>
  <si>
    <t>Achat Travx, Mat. &amp; Equipmt PEPINIERE</t>
  </si>
  <si>
    <t>605814</t>
  </si>
  <si>
    <t>Achat Travx, Mat. &amp; Equipmt ADMINISTRATION</t>
  </si>
  <si>
    <t>605840</t>
  </si>
  <si>
    <t>AUTR ACHAT DE TRAVAUX MATERIEL ET EQUIPEMENT</t>
  </si>
  <si>
    <t>611000</t>
  </si>
  <si>
    <t>Transport sur Achat Produits</t>
  </si>
  <si>
    <t>611100</t>
  </si>
  <si>
    <t>Transport sur achat divers</t>
  </si>
  <si>
    <t>611101</t>
  </si>
  <si>
    <t>Transport sur achat divers Usine</t>
  </si>
  <si>
    <t>611102</t>
  </si>
  <si>
    <t>Transport sur achat divers Agriculture</t>
  </si>
  <si>
    <t>611103</t>
  </si>
  <si>
    <t>Transport sur achat divers Pepinière</t>
  </si>
  <si>
    <t>612000</t>
  </si>
  <si>
    <t>Transports sur Ventes</t>
  </si>
  <si>
    <t>614001</t>
  </si>
  <si>
    <t>Transport du Personnel USINE</t>
  </si>
  <si>
    <t>614004</t>
  </si>
  <si>
    <t>Transport du Personnel ADMINISTRATION</t>
  </si>
  <si>
    <t>616100</t>
  </si>
  <si>
    <t>Transports de Plis Administration</t>
  </si>
  <si>
    <t>618000</t>
  </si>
  <si>
    <t>AUTRES FRAIS DE TRANSPORT</t>
  </si>
  <si>
    <t>618100</t>
  </si>
  <si>
    <t>Voyages et deplacements</t>
  </si>
  <si>
    <t>618101</t>
  </si>
  <si>
    <t>Voyages et deplacements USINE</t>
  </si>
  <si>
    <t>618102</t>
  </si>
  <si>
    <t>Voyages et deplacements AGRICULTURE</t>
  </si>
  <si>
    <t>618103</t>
  </si>
  <si>
    <t>Voyages et deplacements PEPINIERE</t>
  </si>
  <si>
    <t>618104</t>
  </si>
  <si>
    <t>Voyages et deplacements ADMINISTRATION</t>
  </si>
  <si>
    <t>618301</t>
  </si>
  <si>
    <t>Transports administratifs USINE</t>
  </si>
  <si>
    <t>618302</t>
  </si>
  <si>
    <t>Transports administratifs AGRICULTURE</t>
  </si>
  <si>
    <t>618303</t>
  </si>
  <si>
    <t>Transports administratifs PEPINIERE</t>
  </si>
  <si>
    <t>618304</t>
  </si>
  <si>
    <t>Transports administratifs ADMINISTRATION</t>
  </si>
  <si>
    <t>618350</t>
  </si>
  <si>
    <t>Frais de transport Pépinière</t>
  </si>
  <si>
    <t>622100</t>
  </si>
  <si>
    <t>Locations de terrains</t>
  </si>
  <si>
    <t>622135</t>
  </si>
  <si>
    <t>Location centre Logistique I</t>
  </si>
  <si>
    <t>622140</t>
  </si>
  <si>
    <t>Location centre logistique II</t>
  </si>
  <si>
    <t>622142</t>
  </si>
  <si>
    <t>Location centre Logistique IV</t>
  </si>
  <si>
    <t>622143</t>
  </si>
  <si>
    <t>Location Centre Logistique V</t>
  </si>
  <si>
    <t>622144</t>
  </si>
  <si>
    <t>Location Centre Logistique VI</t>
  </si>
  <si>
    <t>622145</t>
  </si>
  <si>
    <t>Location Centre Logistique VII</t>
  </si>
  <si>
    <t>622146</t>
  </si>
  <si>
    <t>Location Centre Logistique VIII</t>
  </si>
  <si>
    <t>622147</t>
  </si>
  <si>
    <t>Location Centre Logistique IX</t>
  </si>
  <si>
    <t>622210</t>
  </si>
  <si>
    <t>Locations de Batiments Bureau</t>
  </si>
  <si>
    <t>622220</t>
  </si>
  <si>
    <t>Location Batiment Agricole</t>
  </si>
  <si>
    <t>622230</t>
  </si>
  <si>
    <t>Location /Profit Parcelle Agricole</t>
  </si>
  <si>
    <t>622310</t>
  </si>
  <si>
    <t>Location Materiels &amp; Outillage</t>
  </si>
  <si>
    <t>622311</t>
  </si>
  <si>
    <t>Location Materiels &amp; Outillage USINE</t>
  </si>
  <si>
    <t>622312</t>
  </si>
  <si>
    <t>Location Materiels &amp; Outillage AGRICULTURE</t>
  </si>
  <si>
    <t>622313</t>
  </si>
  <si>
    <t>Location Materiels &amp; Outillage PEPINIERE</t>
  </si>
  <si>
    <t>622314</t>
  </si>
  <si>
    <t>Location Materiels &amp; Outillage ADMINISTRATION</t>
  </si>
  <si>
    <t>622611</t>
  </si>
  <si>
    <t>Location Logement USINE</t>
  </si>
  <si>
    <t>622612</t>
  </si>
  <si>
    <t>Location Logement AGRICULTURE</t>
  </si>
  <si>
    <t>622613</t>
  </si>
  <si>
    <t>Location Logement PEPINIERE</t>
  </si>
  <si>
    <t>622614</t>
  </si>
  <si>
    <t>Location Logement ADMINISTRATION</t>
  </si>
  <si>
    <t>622630</t>
  </si>
  <si>
    <t>Charges locatives diverses</t>
  </si>
  <si>
    <t>622710</t>
  </si>
  <si>
    <t>Location de vehicule(Regime) Transfert</t>
  </si>
  <si>
    <t>622720</t>
  </si>
  <si>
    <t>Location de Chargeuse Usine</t>
  </si>
  <si>
    <t>622730</t>
  </si>
  <si>
    <t>Location vehicule privé</t>
  </si>
  <si>
    <t>622780</t>
  </si>
  <si>
    <t>Autres location de véhicule</t>
  </si>
  <si>
    <t>622781</t>
  </si>
  <si>
    <t>Autres location de véhicule USINE</t>
  </si>
  <si>
    <t>622782</t>
  </si>
  <si>
    <t>Autres location de véhicule AGRICULTURE</t>
  </si>
  <si>
    <t>622783</t>
  </si>
  <si>
    <t>Autres location de véhicule PEPINIERE</t>
  </si>
  <si>
    <t>622784</t>
  </si>
  <si>
    <t>Autres location de véhicule ADMINISTRATION</t>
  </si>
  <si>
    <t>624311</t>
  </si>
  <si>
    <t>Maintenance USINE</t>
  </si>
  <si>
    <t>624314</t>
  </si>
  <si>
    <t>Maintenance ADMINISTRATION</t>
  </si>
  <si>
    <t>624320</t>
  </si>
  <si>
    <t>Maintenance informatique</t>
  </si>
  <si>
    <t>624321</t>
  </si>
  <si>
    <t>Maintenance informatique USINE</t>
  </si>
  <si>
    <t>624322</t>
  </si>
  <si>
    <t>Maintenance informatique AGRICULTURE</t>
  </si>
  <si>
    <t>624323</t>
  </si>
  <si>
    <t>Maintenance informatique PEPINIERE</t>
  </si>
  <si>
    <t>624324</t>
  </si>
  <si>
    <t>Maintenance informatique ADMINISTRATION</t>
  </si>
  <si>
    <t>624330</t>
  </si>
  <si>
    <t>624340</t>
  </si>
  <si>
    <t>Maintenance des  Ponts Bascules Usine</t>
  </si>
  <si>
    <t>624360</t>
  </si>
  <si>
    <t>Entretien Plantations Industrielles Agri</t>
  </si>
  <si>
    <t>624410</t>
  </si>
  <si>
    <t>Entretien &amp; Reparation divers Administration</t>
  </si>
  <si>
    <t>624411</t>
  </si>
  <si>
    <t>Entretien &amp; Reparation divers USINE</t>
  </si>
  <si>
    <t>624412</t>
  </si>
  <si>
    <t>Entretien &amp; Reparation divers AGRICULTURE</t>
  </si>
  <si>
    <t>624413</t>
  </si>
  <si>
    <t>Entretien &amp; Reparation divers PEPINIERE</t>
  </si>
  <si>
    <t>624414</t>
  </si>
  <si>
    <t>624420</t>
  </si>
  <si>
    <t>Entretien divers Agricole</t>
  </si>
  <si>
    <t>624430</t>
  </si>
  <si>
    <t>Entretien Divers Usine</t>
  </si>
  <si>
    <t>624800</t>
  </si>
  <si>
    <t>Entretien &amp; Reparation  Véhicule</t>
  </si>
  <si>
    <t>624801</t>
  </si>
  <si>
    <t>Entretien &amp; Reparation  Véhicule USINE</t>
  </si>
  <si>
    <t>624802</t>
  </si>
  <si>
    <t>Entretien &amp; Reparation  Véhicule AGRICULTURE</t>
  </si>
  <si>
    <t>624803</t>
  </si>
  <si>
    <t>Entretien &amp; Reparation  Véhicule PEPINIERE</t>
  </si>
  <si>
    <t>624804</t>
  </si>
  <si>
    <t>Entretien &amp; Reparation  Véhicule ADMINISTRATION</t>
  </si>
  <si>
    <t>625000</t>
  </si>
  <si>
    <t>Primes d'Assurances</t>
  </si>
  <si>
    <t>625110</t>
  </si>
  <si>
    <t>Assurances Multirisques</t>
  </si>
  <si>
    <t>625210</t>
  </si>
  <si>
    <t>Assurances Mat. de transport. USINE</t>
  </si>
  <si>
    <t>625211</t>
  </si>
  <si>
    <t>Assurances Mat. de transport. AGRICULTURE</t>
  </si>
  <si>
    <t>625212</t>
  </si>
  <si>
    <t>Assurances Mat. de transport. PEPINIERE</t>
  </si>
  <si>
    <t>625213</t>
  </si>
  <si>
    <t>Assurances Mat. de transport. ADMINISTRATION</t>
  </si>
  <si>
    <t>625821</t>
  </si>
  <si>
    <t>Assurances Maladie du Personnel USINE</t>
  </si>
  <si>
    <t>625822</t>
  </si>
  <si>
    <t>Assurances Maladie du Personnel AGRICULTURE</t>
  </si>
  <si>
    <t>625823</t>
  </si>
  <si>
    <t>Assurances Maladie du Personnel PEPINIERE</t>
  </si>
  <si>
    <t>625824</t>
  </si>
  <si>
    <t>Assurances Maladie du Personnel ADMINISTRATION</t>
  </si>
  <si>
    <t>625831</t>
  </si>
  <si>
    <t>Couverture Maladie Universelle USINE</t>
  </si>
  <si>
    <t>625832</t>
  </si>
  <si>
    <t>Couverture Maladie Universelle AGRICULTURE</t>
  </si>
  <si>
    <t>625833</t>
  </si>
  <si>
    <t>Couverture Maladie Universelle PEPINIERE</t>
  </si>
  <si>
    <t>625834</t>
  </si>
  <si>
    <t>Couverture Maladie Universelle ADMINISTRATION</t>
  </si>
  <si>
    <t>625880</t>
  </si>
  <si>
    <t>Autres Primes d'Assurances</t>
  </si>
  <si>
    <t>625881</t>
  </si>
  <si>
    <t>Primes d'Assurances Planteurs</t>
  </si>
  <si>
    <t>626110</t>
  </si>
  <si>
    <t>Etudes et Recherches</t>
  </si>
  <si>
    <t>626111</t>
  </si>
  <si>
    <t>Etudes et Recherches USINE</t>
  </si>
  <si>
    <t>626112</t>
  </si>
  <si>
    <t>Etudes et Recherches AGRICULTURE</t>
  </si>
  <si>
    <t>626114</t>
  </si>
  <si>
    <t>Etudes et Recherches ADMINISTRATION</t>
  </si>
  <si>
    <t>626520</t>
  </si>
  <si>
    <t>Etude et recherche /analyse LABORATOIRE</t>
  </si>
  <si>
    <t>626612</t>
  </si>
  <si>
    <t>Documentation technique AGRICULTURE</t>
  </si>
  <si>
    <t>626614</t>
  </si>
  <si>
    <t>Documentation technique ADMINISTRATION</t>
  </si>
  <si>
    <t>626800</t>
  </si>
  <si>
    <t>Abonnement Documentation</t>
  </si>
  <si>
    <t>627110</t>
  </si>
  <si>
    <t>Annonces, insertions</t>
  </si>
  <si>
    <t>627410</t>
  </si>
  <si>
    <t>Foires et Expositions</t>
  </si>
  <si>
    <t>627610</t>
  </si>
  <si>
    <t>Cadeaux clientele et autres.</t>
  </si>
  <si>
    <t>627710</t>
  </si>
  <si>
    <t>Frais Colloque, Seminaire, Conf.</t>
  </si>
  <si>
    <t>627714</t>
  </si>
  <si>
    <t>Frais Colloque, Seminaire, Conf. ADMINISTRATION</t>
  </si>
  <si>
    <t>627810</t>
  </si>
  <si>
    <t>Relation Publique &amp; Publicite</t>
  </si>
  <si>
    <t>627811</t>
  </si>
  <si>
    <t>Relation Publique &amp; Publicite USINE</t>
  </si>
  <si>
    <t>627812</t>
  </si>
  <si>
    <t>Relation Publique &amp; Publicite AGRICULTURE</t>
  </si>
  <si>
    <t>627813</t>
  </si>
  <si>
    <t>Relation Publique &amp; Publicite PEPINIERE</t>
  </si>
  <si>
    <t>627814</t>
  </si>
  <si>
    <t>Relation Publique &amp; Publicite ADMINISTRATION</t>
  </si>
  <si>
    <t>628104</t>
  </si>
  <si>
    <t>Frais de telephone ADMINISTRATION</t>
  </si>
  <si>
    <t>628410</t>
  </si>
  <si>
    <t>Frais de Cellulaire</t>
  </si>
  <si>
    <t>628411</t>
  </si>
  <si>
    <t>Frais de Cellulaire USINE</t>
  </si>
  <si>
    <t>628412</t>
  </si>
  <si>
    <t>Frais de Cellulaire AGRICULTURE</t>
  </si>
  <si>
    <t>628413</t>
  </si>
  <si>
    <t>Frais de Cellulaire PEPINIERE</t>
  </si>
  <si>
    <t>628414</t>
  </si>
  <si>
    <t>Frais de Cellulaire ADMINISTRATION</t>
  </si>
  <si>
    <t>628510</t>
  </si>
  <si>
    <t>Frais d'internet</t>
  </si>
  <si>
    <t>628511</t>
  </si>
  <si>
    <t>Frais d'internet USINE</t>
  </si>
  <si>
    <t>628512</t>
  </si>
  <si>
    <t>Frais d'internet AGRICULTURE</t>
  </si>
  <si>
    <t>628513</t>
  </si>
  <si>
    <t>Frais d'internet PEPINIERE</t>
  </si>
  <si>
    <t>628514</t>
  </si>
  <si>
    <t>Frais d'internet  ADMINISTRATION</t>
  </si>
  <si>
    <t>628813</t>
  </si>
  <si>
    <t>Autres Frais Telecommunication PEPINIERE</t>
  </si>
  <si>
    <t>628814</t>
  </si>
  <si>
    <t>Autres Frais Telecommunication ADMINISTRATION</t>
  </si>
  <si>
    <t>631000</t>
  </si>
  <si>
    <t>FRAIS BANCAIRES</t>
  </si>
  <si>
    <t>631210</t>
  </si>
  <si>
    <t>Frais d'encaissement d'effet</t>
  </si>
  <si>
    <t>631610</t>
  </si>
  <si>
    <t>Frais d'emission d'emprunt</t>
  </si>
  <si>
    <t>631800</t>
  </si>
  <si>
    <t>Commission bancaire</t>
  </si>
  <si>
    <t>631810</t>
  </si>
  <si>
    <t>Frais de tenue de compte</t>
  </si>
  <si>
    <t>631820</t>
  </si>
  <si>
    <t>Commissions de mouvement de compte</t>
  </si>
  <si>
    <t>631830</t>
  </si>
  <si>
    <t>Autres frais bancaires</t>
  </si>
  <si>
    <t>631840</t>
  </si>
  <si>
    <t>Interets debiteurs</t>
  </si>
  <si>
    <t>631850</t>
  </si>
  <si>
    <t>Commission de domiciliation import</t>
  </si>
  <si>
    <t>631880</t>
  </si>
  <si>
    <t>Autres Commissions Bancaire</t>
  </si>
  <si>
    <t>632402</t>
  </si>
  <si>
    <t>Honoraires AGRICULTURE</t>
  </si>
  <si>
    <t>632404</t>
  </si>
  <si>
    <t>Honoraires ADMINISTRATION</t>
  </si>
  <si>
    <t>632410</t>
  </si>
  <si>
    <t>Honoraire Administration</t>
  </si>
  <si>
    <t>632500</t>
  </si>
  <si>
    <t>Frais d'actes et de contentieux</t>
  </si>
  <si>
    <t>632610</t>
  </si>
  <si>
    <t>Securite et Gardiennage</t>
  </si>
  <si>
    <t>632681</t>
  </si>
  <si>
    <t>Frais Tracking USINE</t>
  </si>
  <si>
    <t>632682</t>
  </si>
  <si>
    <t>Frais Tracking AGRICULTURE</t>
  </si>
  <si>
    <t>632683</t>
  </si>
  <si>
    <t>Frais Tracking PEPINIERE</t>
  </si>
  <si>
    <t>632684</t>
  </si>
  <si>
    <t>Frais Tracking ADMINISTRATION</t>
  </si>
  <si>
    <t>632710</t>
  </si>
  <si>
    <t>Entretient de Bureau</t>
  </si>
  <si>
    <t>632810</t>
  </si>
  <si>
    <t>Divers Frais</t>
  </si>
  <si>
    <t>632811</t>
  </si>
  <si>
    <t>Frais Divers Usine</t>
  </si>
  <si>
    <t>632813</t>
  </si>
  <si>
    <t>Divers Frais Pepiniere</t>
  </si>
  <si>
    <t>632814</t>
  </si>
  <si>
    <t>Divers Frais Administration</t>
  </si>
  <si>
    <t>632820</t>
  </si>
  <si>
    <t>Cotisation RSPO</t>
  </si>
  <si>
    <t>632880</t>
  </si>
  <si>
    <t>Prime de Motivation</t>
  </si>
  <si>
    <t>633210</t>
  </si>
  <si>
    <t>Frais Formation Personnel</t>
  </si>
  <si>
    <t>633211</t>
  </si>
  <si>
    <t>Frais Formation Personnel USINE</t>
  </si>
  <si>
    <t>633212</t>
  </si>
  <si>
    <t>Frais Formation Personnel AGRICULTURE</t>
  </si>
  <si>
    <t>633213</t>
  </si>
  <si>
    <t>Frais Formation Personnel PEPINIERE</t>
  </si>
  <si>
    <t>633214</t>
  </si>
  <si>
    <t>Frais Formation Personnel ADMINISTRATION</t>
  </si>
  <si>
    <t>634800</t>
  </si>
  <si>
    <t>Autres redevances</t>
  </si>
  <si>
    <t>635120</t>
  </si>
  <si>
    <t>Cotisation  A I P H</t>
  </si>
  <si>
    <t>635130</t>
  </si>
  <si>
    <t>Cotisation Conseil Agricole FIRCA</t>
  </si>
  <si>
    <t>635140</t>
  </si>
  <si>
    <t>Cotisation pour la Recherche FIRCA</t>
  </si>
  <si>
    <t>635150</t>
  </si>
  <si>
    <t>Cotisation pour la Recherche 2eme Transformation</t>
  </si>
  <si>
    <t>635160</t>
  </si>
  <si>
    <t>Cotisation OPA FENACOPAH-CI</t>
  </si>
  <si>
    <t>635810</t>
  </si>
  <si>
    <t>Concours Divers Administration</t>
  </si>
  <si>
    <t>635850</t>
  </si>
  <si>
    <t>Concours divers Pépinière</t>
  </si>
  <si>
    <t>636110</t>
  </si>
  <si>
    <t>Frais medicaux</t>
  </si>
  <si>
    <t>636111</t>
  </si>
  <si>
    <t>Frais medicaux USINE</t>
  </si>
  <si>
    <t>636112</t>
  </si>
  <si>
    <t>Frais medicaux AGRICULTURE</t>
  </si>
  <si>
    <t>636113</t>
  </si>
  <si>
    <t>Frais medicaux PEPINIERE</t>
  </si>
  <si>
    <t>636114</t>
  </si>
  <si>
    <t>Frais medicaux ADMINISTRATION</t>
  </si>
  <si>
    <t>637310</t>
  </si>
  <si>
    <t>Personnel Occasionnel</t>
  </si>
  <si>
    <t>637311</t>
  </si>
  <si>
    <t>Personnel Occasionnel USINE</t>
  </si>
  <si>
    <t>637312</t>
  </si>
  <si>
    <t>Personnel Occasionnel AGRI</t>
  </si>
  <si>
    <t>637313</t>
  </si>
  <si>
    <t>Personnel Occasionnel PEPIN</t>
  </si>
  <si>
    <t>637314</t>
  </si>
  <si>
    <t>Personnel Occasionnel ADMIN</t>
  </si>
  <si>
    <t>637450</t>
  </si>
  <si>
    <t>Main-d'Oeuvre Occasionnelle</t>
  </si>
  <si>
    <t>638310</t>
  </si>
  <si>
    <t>Receptions</t>
  </si>
  <si>
    <t>638311</t>
  </si>
  <si>
    <t>Receptions USINE</t>
  </si>
  <si>
    <t>638312</t>
  </si>
  <si>
    <t>Receptions AGRICULTURE</t>
  </si>
  <si>
    <t>638313</t>
  </si>
  <si>
    <t>Receptions PEPINIERE</t>
  </si>
  <si>
    <t>638314</t>
  </si>
  <si>
    <t>Receptions ADMINISTRATION</t>
  </si>
  <si>
    <t>638410</t>
  </si>
  <si>
    <t>Frais de Mission</t>
  </si>
  <si>
    <t>638411</t>
  </si>
  <si>
    <t>Frais de Mission USINE</t>
  </si>
  <si>
    <t>638412</t>
  </si>
  <si>
    <t>Frais de Mission AGRICULTURE</t>
  </si>
  <si>
    <t>638413</t>
  </si>
  <si>
    <t>Frais de Mission PEPINIERE</t>
  </si>
  <si>
    <t>638414</t>
  </si>
  <si>
    <t>Frais de Mission ADMINISTRATION</t>
  </si>
  <si>
    <t>638510</t>
  </si>
  <si>
    <t>Pourboires</t>
  </si>
  <si>
    <t>638511</t>
  </si>
  <si>
    <t>Pourboires USINE</t>
  </si>
  <si>
    <t>638512</t>
  </si>
  <si>
    <t>Pourboires AGRICULTURE</t>
  </si>
  <si>
    <t>638513</t>
  </si>
  <si>
    <t>Pourboires PEPINIERE</t>
  </si>
  <si>
    <t>638514</t>
  </si>
  <si>
    <t>Pourboires ADMINISTRATION</t>
  </si>
  <si>
    <t>638610</t>
  </si>
  <si>
    <t>Frais d'Hebergement</t>
  </si>
  <si>
    <t>638611</t>
  </si>
  <si>
    <t>Frais d'Hebergement USINE</t>
  </si>
  <si>
    <t>638612</t>
  </si>
  <si>
    <t>Frais d'Hebergement AGRICULTURE</t>
  </si>
  <si>
    <t>638614</t>
  </si>
  <si>
    <t>Frais d'Hebergement ADMINISTRATION</t>
  </si>
  <si>
    <t>638840</t>
  </si>
  <si>
    <t>Autres charges diverses</t>
  </si>
  <si>
    <t>641120</t>
  </si>
  <si>
    <t>Impôt Foncier</t>
  </si>
  <si>
    <t>641200</t>
  </si>
  <si>
    <t>Patentes, Licences &amp; Taxes annexes</t>
  </si>
  <si>
    <t>641300</t>
  </si>
  <si>
    <t>Taxes / Appointements &amp; salaires</t>
  </si>
  <si>
    <t>641301</t>
  </si>
  <si>
    <t>Taxes / Appointements &amp; salaires USINE</t>
  </si>
  <si>
    <t>641302</t>
  </si>
  <si>
    <t>Taxes / Appointements &amp; salaires AGRICULTURE</t>
  </si>
  <si>
    <t>641303</t>
  </si>
  <si>
    <t>Taxes / Appointements &amp; salaires PEPINIERE</t>
  </si>
  <si>
    <t>641304</t>
  </si>
  <si>
    <t>Taxes / Appointements &amp; salaires ADMINISTRATION</t>
  </si>
  <si>
    <t>641400</t>
  </si>
  <si>
    <t>Taxes d'apprentissage</t>
  </si>
  <si>
    <t>641401</t>
  </si>
  <si>
    <t>Taxes d'apprentissage USINE</t>
  </si>
  <si>
    <t>641402</t>
  </si>
  <si>
    <t>Taxes d'apprentissage AGRICULTURE</t>
  </si>
  <si>
    <t>641403</t>
  </si>
  <si>
    <t>Taxes d'apprentissage PEPINIERE</t>
  </si>
  <si>
    <t>641404</t>
  </si>
  <si>
    <t>Taxes d'apprentissage ADMINISTRATION</t>
  </si>
  <si>
    <t>641500</t>
  </si>
  <si>
    <t>Formation professionnelle continue</t>
  </si>
  <si>
    <t>641501</t>
  </si>
  <si>
    <t>Formation professionnelle continue USINE</t>
  </si>
  <si>
    <t>641502</t>
  </si>
  <si>
    <t>Formation professionnelle continue AGRICULTURE</t>
  </si>
  <si>
    <t>641503</t>
  </si>
  <si>
    <t>Formation professionnelle continue PEPINIERE</t>
  </si>
  <si>
    <t>641504</t>
  </si>
  <si>
    <t>Formation professionnelle continue ADMINISTRATION</t>
  </si>
  <si>
    <t>641700</t>
  </si>
  <si>
    <t>641810</t>
  </si>
  <si>
    <t>Autres impots &amp; taxes directs Admin</t>
  </si>
  <si>
    <t>645100</t>
  </si>
  <si>
    <t>Impots &amp; Taxes Indirectes</t>
  </si>
  <si>
    <t>646100</t>
  </si>
  <si>
    <t>Droit de mutation</t>
  </si>
  <si>
    <t>646200</t>
  </si>
  <si>
    <t>Droits de Timbre</t>
  </si>
  <si>
    <t>646300</t>
  </si>
  <si>
    <t>Taxes sur vehicules de societe</t>
  </si>
  <si>
    <t>646301</t>
  </si>
  <si>
    <t>Taxes sur vehicules de societe USINE</t>
  </si>
  <si>
    <t>646302</t>
  </si>
  <si>
    <t>Taxes sur vehicules de societe AGRICULTURE</t>
  </si>
  <si>
    <t>646303</t>
  </si>
  <si>
    <t>Taxes sur vehicules de societe PEPINIERE</t>
  </si>
  <si>
    <t>646304</t>
  </si>
  <si>
    <t>Taxes sur vehicules de societe ADMINISTRATION</t>
  </si>
  <si>
    <t>646410</t>
  </si>
  <si>
    <t>Vignettes Vehicules, Motos...</t>
  </si>
  <si>
    <t>646411</t>
  </si>
  <si>
    <t>Vignettes Vehicules, Motos… USINE</t>
  </si>
  <si>
    <t>646412</t>
  </si>
  <si>
    <t>Vignettes Vehicules, Motos… AGRICULTURE</t>
  </si>
  <si>
    <t>646413</t>
  </si>
  <si>
    <t>Vignettes Vehicules, Motos… PEPINIERE</t>
  </si>
  <si>
    <t>646414</t>
  </si>
  <si>
    <t>Vignettes Vehicules, Motos… ADMINISTRATION</t>
  </si>
  <si>
    <t>646810</t>
  </si>
  <si>
    <t>Autres Droits Administratif</t>
  </si>
  <si>
    <t>646812</t>
  </si>
  <si>
    <t>Autres Droits Administratif-AGRICULTURE</t>
  </si>
  <si>
    <t>647810</t>
  </si>
  <si>
    <t>Autres penalites &amp; amande fisc</t>
  </si>
  <si>
    <t>648110</t>
  </si>
  <si>
    <t>Autres Impots &amp; Taxes</t>
  </si>
  <si>
    <t>648120</t>
  </si>
  <si>
    <t>Taxes/Frais &amp; Commissions Bancaire</t>
  </si>
  <si>
    <t>648130</t>
  </si>
  <si>
    <t>Impots &amp; Taxes/Creances Bancaire</t>
  </si>
  <si>
    <t>648210</t>
  </si>
  <si>
    <t>Taxe CIAPOL</t>
  </si>
  <si>
    <t>658210</t>
  </si>
  <si>
    <t>Dons et Pourboires</t>
  </si>
  <si>
    <t>658810</t>
  </si>
  <si>
    <t>Pertes &amp; Charges Diverses</t>
  </si>
  <si>
    <t>659100</t>
  </si>
  <si>
    <t>Charges prov. d’exploi/ risques à court terme</t>
  </si>
  <si>
    <t>659400</t>
  </si>
  <si>
    <t>Charges provisionnée sur creances</t>
  </si>
  <si>
    <t>659800</t>
  </si>
  <si>
    <t>Autres Charges Provisionnées</t>
  </si>
  <si>
    <t>661101</t>
  </si>
  <si>
    <t>Appointements salaires &amp; commission USINE</t>
  </si>
  <si>
    <t>661102</t>
  </si>
  <si>
    <t>Appointements salaires &amp; commission AGRI</t>
  </si>
  <si>
    <t>661103</t>
  </si>
  <si>
    <t>Appointements salaires &amp; commission PEPIN</t>
  </si>
  <si>
    <t>661104</t>
  </si>
  <si>
    <t>Appointements salaires &amp; commission ADMIN</t>
  </si>
  <si>
    <t>661201</t>
  </si>
  <si>
    <t>Primes et Gratifications USINE</t>
  </si>
  <si>
    <t>661202</t>
  </si>
  <si>
    <t>Primes et Gratifications AGRI</t>
  </si>
  <si>
    <t>661203</t>
  </si>
  <si>
    <t>Primes et Gratifications PEPIN</t>
  </si>
  <si>
    <t>661204</t>
  </si>
  <si>
    <t>Primes et Gratifications ADMIN</t>
  </si>
  <si>
    <t>661221</t>
  </si>
  <si>
    <t>Gratifications &amp; Primes Fin d'Annee USINE</t>
  </si>
  <si>
    <t>661222</t>
  </si>
  <si>
    <t>Gratifications &amp; Primes Fin d'Annee AGRI</t>
  </si>
  <si>
    <t>661223</t>
  </si>
  <si>
    <t>Gratifications &amp; Primes Fin d'Annee PEPIN</t>
  </si>
  <si>
    <t>661224</t>
  </si>
  <si>
    <t>Gratifications &amp; Primes Fin d'Annee ADMIN</t>
  </si>
  <si>
    <t>661251</t>
  </si>
  <si>
    <t>Prime de Transport Personnel USINE</t>
  </si>
  <si>
    <t>661252</t>
  </si>
  <si>
    <t>Prime de Transport Personnel AGRI</t>
  </si>
  <si>
    <t>661253</t>
  </si>
  <si>
    <t>Prime de Transport Personnel PEPIN</t>
  </si>
  <si>
    <t>661254</t>
  </si>
  <si>
    <t>Prime de Transport Personnel ADMIN</t>
  </si>
  <si>
    <t>661301</t>
  </si>
  <si>
    <t>Congés payés USINE</t>
  </si>
  <si>
    <t>661302</t>
  </si>
  <si>
    <t>Congés payés AGRI</t>
  </si>
  <si>
    <t>661303</t>
  </si>
  <si>
    <t>Congés payés PEPIN</t>
  </si>
  <si>
    <t>661304</t>
  </si>
  <si>
    <t>Congés payés ADMIN</t>
  </si>
  <si>
    <t>661401</t>
  </si>
  <si>
    <t>Indemnite Preavis, Licenciement, Re USINE</t>
  </si>
  <si>
    <t>661402</t>
  </si>
  <si>
    <t>Indemnite Preavis, Licenciement, Re AGRI</t>
  </si>
  <si>
    <t>661403</t>
  </si>
  <si>
    <t>Indemnite Preavis, Licenciement, Re PEPIN</t>
  </si>
  <si>
    <t>661404</t>
  </si>
  <si>
    <t>Indemnite Preavis, Licenciement, Re ADMIN</t>
  </si>
  <si>
    <t>661904</t>
  </si>
  <si>
    <t>Arrondi de paie ADMIN</t>
  </si>
  <si>
    <t>663201</t>
  </si>
  <si>
    <t>Indemnite de representation USINE</t>
  </si>
  <si>
    <t>663202</t>
  </si>
  <si>
    <t>Indemnite de representation AGRI</t>
  </si>
  <si>
    <t>663203</t>
  </si>
  <si>
    <t>Indemnite de representation PEPIN</t>
  </si>
  <si>
    <t>663204</t>
  </si>
  <si>
    <t>Indemnite de representation ADMIN</t>
  </si>
  <si>
    <t>663811</t>
  </si>
  <si>
    <t>Allocation Pour Logement USINE</t>
  </si>
  <si>
    <t>663812</t>
  </si>
  <si>
    <t>Allocation Pour Logement AGRI</t>
  </si>
  <si>
    <t>663813</t>
  </si>
  <si>
    <t>Allocation Pour Logement PEPIN</t>
  </si>
  <si>
    <t>663814</t>
  </si>
  <si>
    <t>Allocation Pour Logement ADMIN</t>
  </si>
  <si>
    <t>663821</t>
  </si>
  <si>
    <t>Bonus Trimestriel USINE</t>
  </si>
  <si>
    <t>663822</t>
  </si>
  <si>
    <t>Bonus Trimestriel AGRICULTURE</t>
  </si>
  <si>
    <t>663823</t>
  </si>
  <si>
    <t>Bonus Trimestriel PEPINIERE</t>
  </si>
  <si>
    <t>663824</t>
  </si>
  <si>
    <t>Bonus Trimestriel ADMINISTRATION</t>
  </si>
  <si>
    <t>664101</t>
  </si>
  <si>
    <t>Charges sociales/remuneration perso USINE</t>
  </si>
  <si>
    <t>664102</t>
  </si>
  <si>
    <t>Charges sociales/remuneration perso AGRICULTURE</t>
  </si>
  <si>
    <t>664103</t>
  </si>
  <si>
    <t>Charges sociales/remuneration perso PEPINIERE</t>
  </si>
  <si>
    <t>664104</t>
  </si>
  <si>
    <t>Charges sociales/remuneration perso ADMINISTRATION</t>
  </si>
  <si>
    <t>664804</t>
  </si>
  <si>
    <t>Autres Charges Sociales/Remun. Pers ADMINISTRATION</t>
  </si>
  <si>
    <t>671100</t>
  </si>
  <si>
    <t>Interêts Des Emprunts Obligataires</t>
  </si>
  <si>
    <t>671200</t>
  </si>
  <si>
    <t>Interets des Emprunts Ets Credit</t>
  </si>
  <si>
    <t>671300</t>
  </si>
  <si>
    <t>Interêts des Emprunts AGDEVCO</t>
  </si>
  <si>
    <t>671400</t>
  </si>
  <si>
    <t>Interets des Emprunts HUDSON &amp; Cie</t>
  </si>
  <si>
    <t>675000</t>
  </si>
  <si>
    <t>Escompte des effets de commerce</t>
  </si>
  <si>
    <t>676000</t>
  </si>
  <si>
    <t>Pertes de change</t>
  </si>
  <si>
    <t>679800</t>
  </si>
  <si>
    <t>Autres Charges Provisionnées Financières</t>
  </si>
  <si>
    <t>681100</t>
  </si>
  <si>
    <t>Dotations Aux Amortissements Des Charges Immob.</t>
  </si>
  <si>
    <t>681210</t>
  </si>
  <si>
    <t>Dot. Amortismt Immos. Incorporelles</t>
  </si>
  <si>
    <t>681211</t>
  </si>
  <si>
    <t>Dot. Amortismt Immos. Incorporelles USINE</t>
  </si>
  <si>
    <t>681213</t>
  </si>
  <si>
    <t>Dot. Amortismt Immos. Incorporelles PEPINIERE</t>
  </si>
  <si>
    <t>681214</t>
  </si>
  <si>
    <t>Dot. Amortismt Immos. Incorporelles ADMINISTRATION</t>
  </si>
  <si>
    <t>681310</t>
  </si>
  <si>
    <t>Dot. Amortsmt Immos. Corporelles</t>
  </si>
  <si>
    <t>681311</t>
  </si>
  <si>
    <t>Dot. Amortsmt Immos. Corporelles USINE</t>
  </si>
  <si>
    <t>681312</t>
  </si>
  <si>
    <t>Dot. Amortsmt Immos. Corporelles AGRICULTURE</t>
  </si>
  <si>
    <t>681313</t>
  </si>
  <si>
    <t>Dot. Amortsmt Immos. Corporelles PEPINIERE</t>
  </si>
  <si>
    <t>681314</t>
  </si>
  <si>
    <t>Dot. Amortsmt Immos. Corporelles ADMINISTRATION</t>
  </si>
  <si>
    <t>691100</t>
  </si>
  <si>
    <t>DOTATIONS AUX PROVISIONS POUR RISQUES ET CHARGES</t>
  </si>
  <si>
    <t>691110</t>
  </si>
  <si>
    <t>Provision Charges du Personnel</t>
  </si>
  <si>
    <t>691111</t>
  </si>
  <si>
    <t>Provision Charges du Personnel USINE</t>
  </si>
  <si>
    <t>691112</t>
  </si>
  <si>
    <t>Provision Charges du Personnel AGRICULTURE</t>
  </si>
  <si>
    <t>691113</t>
  </si>
  <si>
    <t>Provision Charges du Personnel PEPINIERE</t>
  </si>
  <si>
    <t>691114</t>
  </si>
  <si>
    <t>Provision Charges du Personnel ADMINISTRATION</t>
  </si>
  <si>
    <t>691210</t>
  </si>
  <si>
    <t>Provision pour Grosses Reparations</t>
  </si>
  <si>
    <t>696111</t>
  </si>
  <si>
    <t>Provision pour Retraites usine</t>
  </si>
  <si>
    <t>696112</t>
  </si>
  <si>
    <t>Provision pour Retraites Agriculture</t>
  </si>
  <si>
    <t>696113</t>
  </si>
  <si>
    <t>Provision pour Retraites Pépiniere</t>
  </si>
  <si>
    <t>696114</t>
  </si>
  <si>
    <t>Provision pour Retraites Administration</t>
  </si>
  <si>
    <t>702100</t>
  </si>
  <si>
    <t>VENTE HUILE DE PALME</t>
  </si>
  <si>
    <t>702120</t>
  </si>
  <si>
    <t>VENTE HUILE UEMOA ETRANGER</t>
  </si>
  <si>
    <t>702130</t>
  </si>
  <si>
    <t>VENTE HUILE DE PALMISTE</t>
  </si>
  <si>
    <t>704140</t>
  </si>
  <si>
    <t>Vente de Tourteaux de Palmiste</t>
  </si>
  <si>
    <t>704150</t>
  </si>
  <si>
    <t>Vente de Fond de TANK d'huile de palme</t>
  </si>
  <si>
    <t>704180</t>
  </si>
  <si>
    <t>Ventes Autres Produits Residuels</t>
  </si>
  <si>
    <t>707100</t>
  </si>
  <si>
    <t>PORTS, EMBALLAGES PERDUS ET AUTRES FRAIS FACTURES</t>
  </si>
  <si>
    <t>707810</t>
  </si>
  <si>
    <t>Vente de Plants</t>
  </si>
  <si>
    <t>707811</t>
  </si>
  <si>
    <t>Vente Plants Dabou</t>
  </si>
  <si>
    <t>707820</t>
  </si>
  <si>
    <t>Chargement de Plants</t>
  </si>
  <si>
    <t>707830</t>
  </si>
  <si>
    <t>Vente de Chlorure de potassium KCL</t>
  </si>
  <si>
    <t>707840</t>
  </si>
  <si>
    <t>Vente de NPK</t>
  </si>
  <si>
    <t>707870</t>
  </si>
  <si>
    <t>Vente d'Outil Agricole</t>
  </si>
  <si>
    <t>707880</t>
  </si>
  <si>
    <t>Autres Produits Accessoires</t>
  </si>
  <si>
    <t>736110</t>
  </si>
  <si>
    <t>Variation de stock Huile de palme</t>
  </si>
  <si>
    <t>736120</t>
  </si>
  <si>
    <t>Variation de stock d'huile de palmiste</t>
  </si>
  <si>
    <t>736130</t>
  </si>
  <si>
    <t>Variation de stock Coque d'amande</t>
  </si>
  <si>
    <t>737110</t>
  </si>
  <si>
    <t>Variation de Stock Plant</t>
  </si>
  <si>
    <t>737210</t>
  </si>
  <si>
    <t>Variation de Tourteaux de palmiste</t>
  </si>
  <si>
    <t>754000</t>
  </si>
  <si>
    <t>Produits Cessions Courantes d'Immob</t>
  </si>
  <si>
    <t>758810</t>
  </si>
  <si>
    <t>Produits Divers Administration</t>
  </si>
  <si>
    <t>771100</t>
  </si>
  <si>
    <t>Interets de Depots A Terme</t>
  </si>
  <si>
    <t>771810</t>
  </si>
  <si>
    <t>Autres Interêts Bancaires</t>
  </si>
  <si>
    <t>781000</t>
  </si>
  <si>
    <t>Transfert de charges d'exploitation</t>
  </si>
  <si>
    <t>791100</t>
  </si>
  <si>
    <t>REPRISE DE PROVISION DE CHARGES DU PERSONNELS</t>
  </si>
  <si>
    <t>798000</t>
  </si>
  <si>
    <t>REPRISE D'AMORTISSEMENTS</t>
  </si>
  <si>
    <t>812000</t>
  </si>
  <si>
    <t>Immobilisations Corporelles</t>
  </si>
  <si>
    <t>822000</t>
  </si>
  <si>
    <t>862000</t>
  </si>
  <si>
    <t>REPRISE AMORTISSEMENT HAO</t>
  </si>
  <si>
    <t>899100</t>
  </si>
  <si>
    <t>DEGREVEMENT D'IMPOTS</t>
  </si>
  <si>
    <t>Compte de résultat — SYSCOHADA</t>
  </si>
  <si>
    <t>Montants en FCFA, construits depuis la feuille BG COMP (SUMIF sur la colonne Mapping).</t>
  </si>
  <si>
    <t>En FCFA</t>
  </si>
  <si>
    <t>TCAM</t>
  </si>
  <si>
    <t>Chiffre d'affaires</t>
  </si>
  <si>
    <t>Services extérieurs</t>
  </si>
  <si>
    <t>EBITDA</t>
  </si>
  <si>
    <t>EBITDA (% CA)</t>
  </si>
  <si>
    <t>D&amp;A</t>
  </si>
  <si>
    <t>EBIT</t>
  </si>
  <si>
    <t>EBIT (% CA)</t>
  </si>
  <si>
    <t>Résultat financier</t>
  </si>
  <si>
    <t>Résultat net</t>
  </si>
  <si>
    <t>Source : balance générale comparée, classée selon le plan SYSCOHADA (feuille Plan SYSCOHADA).</t>
  </si>
  <si>
    <t>Actif net — SYSCOHADA</t>
  </si>
  <si>
    <t>Montants en M FCFA. Actif net et capitaux propres doivent se rejoindre : la dernière ligne contrôle l'équilibre.</t>
  </si>
  <si>
    <t>En M FCFA</t>
  </si>
  <si>
    <t>Actifs immobilisés</t>
  </si>
  <si>
    <t>BFR</t>
  </si>
  <si>
    <t>Trésorerie et équivalents</t>
  </si>
  <si>
    <t>Dettes financières</t>
  </si>
  <si>
    <t>Trésorerie / (dette) nette</t>
  </si>
  <si>
    <t>Résultat net de l'exercice</t>
  </si>
  <si>
    <t>Capitaux propres</t>
  </si>
  <si>
    <t>Contrôle : actif net − capitaux propres</t>
  </si>
  <si>
    <t>DCF — flux de trésorerie disponibles</t>
  </si>
  <si>
    <t>M FCFA · actualisation en fin d'année · valeur terminale de Gordon-Shapiro · prévisionnel estimé à partir d'hypothèses</t>
  </si>
  <si>
    <t>Hypothèses</t>
  </si>
  <si>
    <t>CMPC, monnaie locale</t>
  </si>
  <si>
    <t>Croissance à l'infini (g)</t>
  </si>
  <si>
    <t>Taux d'IS normatif</t>
  </si>
  <si>
    <t>Dette nette (négative : trésorerie nette)</t>
  </si>
  <si>
    <t>Chiffre d'affaires de base, FY23</t>
  </si>
  <si>
    <t>Marge d'EBITDA</t>
  </si>
  <si>
    <t>D&amp;A, en % du CA</t>
  </si>
  <si>
    <t>Variation du BFR, en % de la variation du CA</t>
  </si>
  <si>
    <t>M FCFA</t>
  </si>
  <si>
    <t>FY24</t>
  </si>
  <si>
    <t>FY25</t>
  </si>
  <si>
    <t>FY26</t>
  </si>
  <si>
    <t>FY27</t>
  </si>
  <si>
    <t>FY28</t>
  </si>
  <si>
    <t>Croissance du CA</t>
  </si>
  <si>
    <t>CapEx</t>
  </si>
  <si>
    <t>Variation du BFR (signée comme un flux)</t>
  </si>
  <si>
    <t>(−) Impôt normatif sur l'EBIT</t>
  </si>
  <si>
    <t>NOPAT</t>
  </si>
  <si>
    <t>FCFF = NOPAT + D&amp;A − CapEx + variation du BFR</t>
  </si>
  <si>
    <t>Période d'actualisation (années)</t>
  </si>
  <si>
    <t>Facteur d'actualisation</t>
  </si>
  <si>
    <t>FCFF actualisé</t>
  </si>
  <si>
    <t>Somme des FCFF actualisés (FY24-FY38)</t>
  </si>
  <si>
    <t>Valeur terminale à fin FY28 (Gordon-Shapiro)</t>
  </si>
  <si>
    <t>Valeur terminale actualisée</t>
  </si>
  <si>
    <t>Valeur d'entreprise (VE)</t>
  </si>
  <si>
    <t>Poids de la valeur terminale</t>
  </si>
  <si>
    <t>(−) Dette nette</t>
  </si>
  <si>
    <t>Valeur des fonds propres</t>
  </si>
  <si>
    <t>Test de sensibilité (mFCFA)</t>
  </si>
  <si>
    <t>WACC Indirect</t>
  </si>
  <si>
    <t>Comparables — VE / EBITDA</t>
  </si>
  <si>
    <t>Secteur Oil, Gas and Consumable Fuels · médiane de 20 sociétés à EBITDA positif, exercice 2025 · VE = capitalisation + dette</t>
  </si>
  <si>
    <t>Société</t>
  </si>
  <si>
    <t>Capitalisation (M FCFA)</t>
  </si>
  <si>
    <t>Dette (M FCFA)</t>
  </si>
  <si>
    <t>VE (M FCFA)</t>
  </si>
  <si>
    <t>EBITDA 2025 (M FCFA)</t>
  </si>
  <si>
    <t>VE / EBITDA</t>
  </si>
  <si>
    <t>ExxonMobil Holdings Corporation</t>
  </si>
  <si>
    <t>Chevron Corporation</t>
  </si>
  <si>
    <t>Shell plc</t>
  </si>
  <si>
    <t>TotalEnergies SE</t>
  </si>
  <si>
    <t>ConocoPhillips</t>
  </si>
  <si>
    <t>Enbridge Inc.</t>
  </si>
  <si>
    <t>BP p.l.c.</t>
  </si>
  <si>
    <t>The Williams Companies, Inc.</t>
  </si>
  <si>
    <t>Canadian Natural Resources Limited</t>
  </si>
  <si>
    <t>Enterprise Products Partners L.P.</t>
  </si>
  <si>
    <t>Kinder Morgan, Inc.</t>
  </si>
  <si>
    <t>TC Energy Corporation</t>
  </si>
  <si>
    <t>EOG Resources, Inc.</t>
  </si>
  <si>
    <t>Energy Transfer LP</t>
  </si>
  <si>
    <t>MPLX LP</t>
  </si>
  <si>
    <t>Suncor Energy Inc.</t>
  </si>
  <si>
    <t>Phillips 66</t>
  </si>
  <si>
    <t>Valero Energy Corporation</t>
  </si>
  <si>
    <t>Marathon Petroleum Corporation</t>
  </si>
  <si>
    <t>ONEOK, Inc.</t>
  </si>
  <si>
    <t xml:space="preserve">MTN CI - Valorisation selon les comparables boursiers </t>
  </si>
  <si>
    <t>mFCFA</t>
  </si>
  <si>
    <t>Min.</t>
  </si>
  <si>
    <t>Med.</t>
  </si>
  <si>
    <t>Max</t>
  </si>
  <si>
    <t>EBITDA de référence, FY23 (M FCFA) — balance générale SYSCOHADA</t>
  </si>
  <si>
    <t>Multiple d'EBITDA</t>
  </si>
  <si>
    <t>Valeur d'entreprise</t>
  </si>
  <si>
    <t>Dette financière nette ajustée</t>
  </si>
  <si>
    <t>Source: Analyse Forvis Mazars</t>
  </si>
  <si>
    <t>Synthèse des valorisations</t>
  </si>
  <si>
    <t>M FCFA · moyenne arithmétique des VE · poids modifiables en colonne D</t>
  </si>
  <si>
    <t>Méthode</t>
  </si>
  <si>
    <t>VE</t>
  </si>
  <si>
    <t>Poids</t>
  </si>
  <si>
    <t>VE pondérée</t>
  </si>
  <si>
    <t>DCF</t>
  </si>
  <si>
    <t>Comparables</t>
  </si>
  <si>
    <t>Somme des poids</t>
  </si>
  <si>
    <t>Valeur d'entreprise retenue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</si>
</sst>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–&quot;"/>
    <numFmt numFmtId="165" formatCode="#,##0.0;\(#,##0.0\);&quot;–&quot;"/>
    <numFmt numFmtId="166" formatCode="0.0%;\-0.0%;&quot;–&quot;"/>
    <numFmt numFmtId="167" formatCode="0.0&quot;x&quot;"/>
    <numFmt numFmtId="168" formatCode="0.0000"/>
    <numFmt numFmtId="169" formatCode="0.0%"/>
  </numFmts>
  <fonts count="27" x14ac:knownFonts="1"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i/>
      <sz val="9"/>
      <color rgb="FF7F7F7F"/>
      <name val="Calibri"/>
    </font>
    <font>
      <b/>
      <sz val="12"/>
      <name val="Calibri"/>
    </font>
    <font>
      <sz val="9"/>
      <color rgb="FF8C8C8C"/>
      <name val="Calibri"/>
    </font>
    <font>
      <sz val="10"/>
      <color rgb="FF1D4ED8"/>
      <name val="Calibri"/>
    </font>
    <font>
      <b/>
      <sz val="10"/>
      <name val="Calibri"/>
      <family val="2"/>
    </font>
    <font>
      <sz val="9"/>
      <color rgb="FF464B4B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72CE"/>
      <name val="Arial"/>
      <family val="2"/>
    </font>
    <font>
      <i/>
      <sz val="9"/>
      <color rgb="FF171C8F"/>
      <name val="Arial"/>
      <family val="2"/>
    </font>
    <font>
      <b/>
      <sz val="9"/>
      <color rgb="FF464B4B"/>
      <name val="Arial"/>
      <family val="2"/>
    </font>
    <font>
      <sz val="9"/>
      <color rgb="FFFFFFFF"/>
      <name val="Arial"/>
      <family val="2"/>
    </font>
    <font>
      <i/>
      <sz val="9"/>
      <color rgb="FFD73A2F"/>
      <name val="Arial"/>
      <family val="2"/>
    </font>
    <font>
      <sz val="9"/>
      <color rgb="FF0070C0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6"/>
      <color rgb="FF727578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  <font>
      <sz val="8"/>
      <color rgb="FF464B4B"/>
      <name val="Arial"/>
      <family val="2"/>
    </font>
    <font>
      <b/>
      <sz val="8"/>
      <color rgb="FF464B4B"/>
      <name val="Arial"/>
      <family val="2"/>
    </font>
    <font>
      <sz val="9"/>
      <color rgb="FF262626"/>
      <name val="Arial"/>
      <family val="2"/>
    </font>
    <font>
      <b/>
      <sz val="8"/>
      <color rgb="FF0071CE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2A4D"/>
        <bgColor indexed="64"/>
      </patternFill>
    </fill>
    <fill>
      <patternFill patternType="solid">
        <fgColor rgb="FFF1EE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6517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FF4EC"/>
        <bgColor rgb="FF000000"/>
      </patternFill>
    </fill>
    <fill>
      <patternFill patternType="solid">
        <fgColor rgb="FF26517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1E3FF"/>
        <bgColor rgb="FF000000"/>
      </patternFill>
    </fill>
    <fill>
      <patternFill patternType="solid">
        <fgColor rgb="FF84C8FF"/>
        <bgColor rgb="FF000000"/>
      </patternFill>
    </fill>
    <fill>
      <patternFill patternType="solid">
        <fgColor rgb="FF104861"/>
        <bgColor rgb="FF000000"/>
      </patternFill>
    </fill>
  </fills>
  <borders count="14">
    <border>
      <left/>
      <right/>
      <top/>
      <bottom/>
      <diagonal/>
    </border>
    <border>
      <left style="thin">
        <color rgb="FF265173"/>
      </left>
      <right style="thin">
        <color rgb="FF265173"/>
      </right>
      <top style="thin">
        <color rgb="FF265173"/>
      </top>
      <bottom style="thin">
        <color rgb="FF265173"/>
      </bottom>
      <diagonal/>
    </border>
    <border>
      <left/>
      <right/>
      <top style="medium">
        <color rgb="FF0072CE"/>
      </top>
      <bottom/>
      <diagonal/>
    </border>
    <border>
      <left/>
      <right/>
      <top/>
      <bottom style="medium">
        <color rgb="FF265173"/>
      </bottom>
      <diagonal/>
    </border>
    <border>
      <left style="dashDotDot">
        <color rgb="FF3D4775"/>
      </left>
      <right/>
      <top style="dashDotDot">
        <color rgb="FF3D4775"/>
      </top>
      <bottom/>
      <diagonal/>
    </border>
    <border>
      <left/>
      <right/>
      <top style="dashDotDot">
        <color rgb="FF3D4775"/>
      </top>
      <bottom/>
      <diagonal/>
    </border>
    <border>
      <left/>
      <right style="dashDotDot">
        <color rgb="FF3D4775"/>
      </right>
      <top style="dashDotDot">
        <color rgb="FF3D4775"/>
      </top>
      <bottom/>
      <diagonal/>
    </border>
    <border>
      <left style="dashDotDot">
        <color rgb="FF3D4775"/>
      </left>
      <right/>
      <top/>
      <bottom/>
      <diagonal/>
    </border>
    <border>
      <left/>
      <right style="dashDotDot">
        <color rgb="FF3D4775"/>
      </right>
      <top/>
      <bottom/>
      <diagonal/>
    </border>
    <border>
      <left/>
      <right/>
      <top/>
      <bottom style="dashDot">
        <color rgb="FF3D4775"/>
      </bottom>
      <diagonal/>
    </border>
    <border>
      <left/>
      <right/>
      <top/>
      <bottom style="dashDotDot">
        <color rgb="FF3D4775"/>
      </bottom>
      <diagonal/>
    </border>
    <border>
      <left/>
      <right style="dashDotDot">
        <color rgb="FF3D4775"/>
      </right>
      <top/>
      <bottom style="dashDotDot">
        <color rgb="FF3D4775"/>
      </bottom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0071CE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0" xfId="0" applyFont="1"/>
    <xf numFmtId="0" fontId="3" fillId="0" borderId="0" xfId="0" applyFont="1"/>
    <xf numFmtId="0" fontId="2" fillId="2" borderId="0" xfId="0" applyFont="1" applyFill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0" fontId="1" fillId="3" borderId="0" xfId="0" applyFont="1" applyFill="1"/>
    <xf numFmtId="165" fontId="1" fillId="3" borderId="0" xfId="0" applyNumberFormat="1" applyFont="1" applyFill="1"/>
    <xf numFmtId="49" fontId="0" fillId="0" borderId="0" xfId="0" applyNumberFormat="1"/>
    <xf numFmtId="165" fontId="6" fillId="0" borderId="0" xfId="0" applyNumberFormat="1" applyFont="1"/>
    <xf numFmtId="166" fontId="6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5" fillId="4" borderId="0" xfId="0" applyFont="1" applyFill="1"/>
    <xf numFmtId="0" fontId="7" fillId="4" borderId="0" xfId="0" applyFont="1" applyFill="1"/>
    <xf numFmtId="0" fontId="8" fillId="4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166" fontId="14" fillId="5" borderId="1" xfId="0" applyNumberFormat="1" applyFont="1" applyFill="1" applyBorder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right"/>
    </xf>
    <xf numFmtId="0" fontId="10" fillId="5" borderId="1" xfId="0" applyFont="1" applyFill="1" applyBorder="1" applyAlignment="1">
      <alignment horizontal="right" vertical="center"/>
    </xf>
    <xf numFmtId="166" fontId="8" fillId="6" borderId="0" xfId="0" applyNumberFormat="1" applyFont="1" applyFill="1" applyAlignment="1">
      <alignment horizontal="right" vertical="center"/>
    </xf>
    <xf numFmtId="166" fontId="11" fillId="6" borderId="0" xfId="0" applyNumberFormat="1" applyFont="1" applyFill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 vertical="center"/>
    </xf>
    <xf numFmtId="166" fontId="12" fillId="6" borderId="0" xfId="0" applyNumberFormat="1" applyFont="1" applyFill="1" applyAlignment="1">
      <alignment horizontal="right" vertical="center"/>
    </xf>
    <xf numFmtId="0" fontId="2" fillId="0" borderId="0" xfId="0" applyFont="1"/>
    <xf numFmtId="165" fontId="8" fillId="0" borderId="0" xfId="0" applyNumberFormat="1" applyFont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 indent="1"/>
    </xf>
    <xf numFmtId="165" fontId="12" fillId="0" borderId="0" xfId="0" applyNumberFormat="1" applyFont="1" applyAlignment="1">
      <alignment horizontal="right" vertical="center" indent="1"/>
    </xf>
    <xf numFmtId="165" fontId="1" fillId="0" borderId="0" xfId="0" applyNumberFormat="1" applyFont="1"/>
    <xf numFmtId="166" fontId="16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left" vertical="center"/>
    </xf>
    <xf numFmtId="168" fontId="12" fillId="0" borderId="0" xfId="0" applyNumberFormat="1" applyFont="1" applyAlignment="1">
      <alignment horizontal="right" vertical="center"/>
    </xf>
    <xf numFmtId="0" fontId="18" fillId="0" borderId="0" xfId="0" applyFont="1"/>
    <xf numFmtId="0" fontId="19" fillId="7" borderId="0" xfId="0" applyFont="1" applyFill="1" applyAlignment="1">
      <alignment horizontal="left" indent="1"/>
    </xf>
    <xf numFmtId="0" fontId="10" fillId="8" borderId="1" xfId="0" applyFont="1" applyFill="1" applyBorder="1" applyAlignment="1">
      <alignment horizontal="left" vertical="center"/>
    </xf>
    <xf numFmtId="3" fontId="10" fillId="8" borderId="1" xfId="0" applyNumberFormat="1" applyFont="1" applyFill="1" applyBorder="1" applyAlignment="1">
      <alignment horizontal="right" vertical="center"/>
    </xf>
    <xf numFmtId="0" fontId="17" fillId="0" borderId="0" xfId="0" applyFont="1"/>
    <xf numFmtId="0" fontId="22" fillId="0" borderId="0" xfId="0" applyFont="1"/>
    <xf numFmtId="0" fontId="18" fillId="0" borderId="4" xfId="0" applyFont="1" applyBorder="1"/>
    <xf numFmtId="0" fontId="18" fillId="0" borderId="5" xfId="0" applyFont="1" applyBorder="1"/>
    <xf numFmtId="4" fontId="9" fillId="9" borderId="5" xfId="0" applyNumberFormat="1" applyFont="1" applyFill="1" applyBorder="1" applyAlignment="1">
      <alignment horizontal="right" vertical="center"/>
    </xf>
    <xf numFmtId="10" fontId="23" fillId="9" borderId="5" xfId="0" applyNumberFormat="1" applyFont="1" applyFill="1" applyBorder="1" applyAlignment="1">
      <alignment horizontal="right" vertical="center"/>
    </xf>
    <xf numFmtId="10" fontId="23" fillId="9" borderId="6" xfId="0" applyNumberFormat="1" applyFont="1" applyFill="1" applyBorder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3" fontId="25" fillId="10" borderId="0" xfId="0" applyNumberFormat="1" applyFont="1" applyFill="1" applyAlignment="1">
      <alignment horizontal="right" vertical="center" wrapText="1"/>
    </xf>
    <xf numFmtId="3" fontId="25" fillId="10" borderId="8" xfId="0" applyNumberFormat="1" applyFont="1" applyFill="1" applyBorder="1" applyAlignment="1">
      <alignment horizontal="right" vertical="center" wrapText="1"/>
    </xf>
    <xf numFmtId="3" fontId="25" fillId="11" borderId="0" xfId="0" applyNumberFormat="1" applyFont="1" applyFill="1" applyAlignment="1">
      <alignment horizontal="right" vertical="center" wrapText="1"/>
    </xf>
    <xf numFmtId="3" fontId="10" fillId="12" borderId="0" xfId="0" applyNumberFormat="1" applyFont="1" applyFill="1" applyAlignment="1">
      <alignment horizontal="right" vertical="center" wrapText="1"/>
    </xf>
    <xf numFmtId="10" fontId="23" fillId="0" borderId="9" xfId="0" applyNumberFormat="1" applyFont="1" applyBorder="1" applyAlignment="1">
      <alignment horizontal="right" vertical="center"/>
    </xf>
    <xf numFmtId="3" fontId="25" fillId="10" borderId="10" xfId="0" applyNumberFormat="1" applyFont="1" applyFill="1" applyBorder="1" applyAlignment="1">
      <alignment horizontal="right" vertical="center" wrapText="1"/>
    </xf>
    <xf numFmtId="3" fontId="25" fillId="10" borderId="11" xfId="0" applyNumberFormat="1" applyFont="1" applyFill="1" applyBorder="1" applyAlignment="1">
      <alignment horizontal="right" vertical="center" wrapText="1"/>
    </xf>
    <xf numFmtId="169" fontId="0" fillId="0" borderId="0" xfId="0" applyNumberFormat="1"/>
    <xf numFmtId="0" fontId="20" fillId="0" borderId="1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right" vertical="center"/>
    </xf>
    <xf numFmtId="0" fontId="23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6" fillId="0" borderId="13" xfId="0" applyFont="1" applyBorder="1" applyAlignment="1">
      <alignment horizontal="left" vertical="center"/>
    </xf>
    <xf numFmtId="3" fontId="26" fillId="0" borderId="13" xfId="0" applyNumberFormat="1" applyFont="1" applyBorder="1" applyAlignment="1">
      <alignment horizontal="right" vertical="center"/>
    </xf>
    <xf numFmtId="167" fontId="23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13" fillId="3" borderId="3" xfId="0" applyFont="1" applyFill="1" applyBorder="1" applyAlignment="1">
      <alignment horizontal="left" vertical="center"/>
    </xf>
    <xf numFmtId="165" fontId="13" fillId="3" borderId="3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10" fontId="18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A086-B4E3-4C76-9B23-8DC73C70E4A4}">
  <sheetPr>
    <tabColor rgb="FF0070C0"/>
  </sheetPr>
  <dimension ref="A1"/>
  <sheetViews>
    <sheetView showGridLines="0" view="pageBreakPreview" zoomScale="60" zoomScaleNormal="100" workbookViewId="0">
      <selection activeCell="H39" sqref="A1:XFD1048576"/>
    </sheetView>
  </sheetViews>
  <sheetFormatPr baseColWidth="10" defaultColWidth="11.3984375" defaultRowHeight="13" x14ac:dyDescent="0.3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2"/>
  <sheetViews>
    <sheetView topLeftCell="A49" workbookViewId="0"/>
  </sheetViews>
  <sheetFormatPr baseColWidth="10" defaultColWidth="11.3984375" defaultRowHeight="13" x14ac:dyDescent="0.3"/>
  <cols>
    <col min="1" max="1" width="10" customWidth="1"/>
    <col min="2" max="2" width="50" customWidth="1"/>
    <col min="3" max="3" width="20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0" t="s">
        <v>3</v>
      </c>
      <c r="B2" t="s">
        <v>4</v>
      </c>
      <c r="C2" t="s">
        <v>5</v>
      </c>
    </row>
    <row r="3" spans="1:3" x14ac:dyDescent="0.3">
      <c r="A3" s="10" t="s">
        <v>6</v>
      </c>
      <c r="B3" t="s">
        <v>7</v>
      </c>
      <c r="C3" t="s">
        <v>5</v>
      </c>
    </row>
    <row r="4" spans="1:3" x14ac:dyDescent="0.3">
      <c r="A4" s="10" t="s">
        <v>8</v>
      </c>
      <c r="B4" t="s">
        <v>9</v>
      </c>
      <c r="C4" t="s">
        <v>5</v>
      </c>
    </row>
    <row r="5" spans="1:3" x14ac:dyDescent="0.3">
      <c r="A5" s="10" t="s">
        <v>10</v>
      </c>
      <c r="B5" t="s">
        <v>11</v>
      </c>
      <c r="C5" t="s">
        <v>5</v>
      </c>
    </row>
    <row r="6" spans="1:3" x14ac:dyDescent="0.3">
      <c r="A6" s="10" t="s">
        <v>12</v>
      </c>
      <c r="B6" t="s">
        <v>13</v>
      </c>
      <c r="C6" t="s">
        <v>5</v>
      </c>
    </row>
    <row r="7" spans="1:3" x14ac:dyDescent="0.3">
      <c r="A7" s="10" t="s">
        <v>14</v>
      </c>
      <c r="B7" t="s">
        <v>13</v>
      </c>
      <c r="C7" t="s">
        <v>5</v>
      </c>
    </row>
    <row r="8" spans="1:3" x14ac:dyDescent="0.3">
      <c r="A8" s="10" t="s">
        <v>15</v>
      </c>
      <c r="B8" t="s">
        <v>16</v>
      </c>
      <c r="C8" t="s">
        <v>5</v>
      </c>
    </row>
    <row r="9" spans="1:3" x14ac:dyDescent="0.3">
      <c r="A9" s="10" t="s">
        <v>17</v>
      </c>
      <c r="B9" t="s">
        <v>18</v>
      </c>
      <c r="C9" t="s">
        <v>5</v>
      </c>
    </row>
    <row r="10" spans="1:3" x14ac:dyDescent="0.3">
      <c r="A10" s="10" t="s">
        <v>19</v>
      </c>
      <c r="B10" t="s">
        <v>16</v>
      </c>
      <c r="C10" t="s">
        <v>5</v>
      </c>
    </row>
    <row r="11" spans="1:3" x14ac:dyDescent="0.3">
      <c r="A11" s="10" t="s">
        <v>20</v>
      </c>
      <c r="B11" t="s">
        <v>21</v>
      </c>
      <c r="C11" t="s">
        <v>5</v>
      </c>
    </row>
    <row r="12" spans="1:3" x14ac:dyDescent="0.3">
      <c r="A12" s="10" t="s">
        <v>22</v>
      </c>
      <c r="B12" t="s">
        <v>23</v>
      </c>
      <c r="C12" t="s">
        <v>5</v>
      </c>
    </row>
    <row r="13" spans="1:3" x14ac:dyDescent="0.3">
      <c r="A13" s="10" t="s">
        <v>24</v>
      </c>
      <c r="B13" t="s">
        <v>23</v>
      </c>
      <c r="C13" t="s">
        <v>5</v>
      </c>
    </row>
    <row r="14" spans="1:3" x14ac:dyDescent="0.3">
      <c r="A14" s="10" t="s">
        <v>25</v>
      </c>
      <c r="B14" t="s">
        <v>26</v>
      </c>
      <c r="C14" t="s">
        <v>5</v>
      </c>
    </row>
    <row r="15" spans="1:3" x14ac:dyDescent="0.3">
      <c r="A15" s="10" t="s">
        <v>27</v>
      </c>
      <c r="B15" t="s">
        <v>26</v>
      </c>
      <c r="C15" t="s">
        <v>5</v>
      </c>
    </row>
    <row r="16" spans="1:3" x14ac:dyDescent="0.3">
      <c r="A16" s="10" t="s">
        <v>28</v>
      </c>
      <c r="B16" t="s">
        <v>26</v>
      </c>
      <c r="C16" t="s">
        <v>5</v>
      </c>
    </row>
    <row r="17" spans="1:3" x14ac:dyDescent="0.3">
      <c r="A17" s="10" t="s">
        <v>29</v>
      </c>
      <c r="B17" t="s">
        <v>26</v>
      </c>
      <c r="C17" t="s">
        <v>5</v>
      </c>
    </row>
    <row r="18" spans="1:3" x14ac:dyDescent="0.3">
      <c r="A18" s="10" t="s">
        <v>30</v>
      </c>
      <c r="B18" t="s">
        <v>31</v>
      </c>
      <c r="C18" t="s">
        <v>5</v>
      </c>
    </row>
    <row r="19" spans="1:3" x14ac:dyDescent="0.3">
      <c r="A19" s="10" t="s">
        <v>32</v>
      </c>
      <c r="B19" t="s">
        <v>31</v>
      </c>
      <c r="C19" t="s">
        <v>5</v>
      </c>
    </row>
    <row r="20" spans="1:3" x14ac:dyDescent="0.3">
      <c r="A20" s="10" t="s">
        <v>33</v>
      </c>
      <c r="B20" t="s">
        <v>23</v>
      </c>
      <c r="C20" t="s">
        <v>5</v>
      </c>
    </row>
    <row r="21" spans="1:3" x14ac:dyDescent="0.3">
      <c r="A21" s="10" t="s">
        <v>34</v>
      </c>
      <c r="B21" t="s">
        <v>26</v>
      </c>
      <c r="C21" t="s">
        <v>5</v>
      </c>
    </row>
    <row r="22" spans="1:3" x14ac:dyDescent="0.3">
      <c r="A22" s="10" t="s">
        <v>35</v>
      </c>
      <c r="B22" t="s">
        <v>26</v>
      </c>
      <c r="C22" t="s">
        <v>5</v>
      </c>
    </row>
    <row r="23" spans="1:3" x14ac:dyDescent="0.3">
      <c r="A23" s="10" t="s">
        <v>36</v>
      </c>
      <c r="B23" t="s">
        <v>26</v>
      </c>
      <c r="C23" t="s">
        <v>5</v>
      </c>
    </row>
    <row r="24" spans="1:3" x14ac:dyDescent="0.3">
      <c r="A24" s="10" t="s">
        <v>37</v>
      </c>
      <c r="B24" t="s">
        <v>26</v>
      </c>
      <c r="C24" t="s">
        <v>5</v>
      </c>
    </row>
    <row r="25" spans="1:3" x14ac:dyDescent="0.3">
      <c r="A25" s="10" t="s">
        <v>38</v>
      </c>
      <c r="B25" t="s">
        <v>26</v>
      </c>
      <c r="C25" t="s">
        <v>5</v>
      </c>
    </row>
    <row r="26" spans="1:3" x14ac:dyDescent="0.3">
      <c r="A26" s="10" t="s">
        <v>39</v>
      </c>
      <c r="B26" t="s">
        <v>23</v>
      </c>
      <c r="C26" t="s">
        <v>5</v>
      </c>
    </row>
    <row r="27" spans="1:3" x14ac:dyDescent="0.3">
      <c r="A27" s="10" t="s">
        <v>40</v>
      </c>
      <c r="B27" t="s">
        <v>26</v>
      </c>
      <c r="C27" t="s">
        <v>5</v>
      </c>
    </row>
    <row r="28" spans="1:3" x14ac:dyDescent="0.3">
      <c r="A28" s="10" t="s">
        <v>41</v>
      </c>
      <c r="B28" t="s">
        <v>26</v>
      </c>
      <c r="C28" t="s">
        <v>5</v>
      </c>
    </row>
    <row r="29" spans="1:3" x14ac:dyDescent="0.3">
      <c r="A29" s="10" t="s">
        <v>42</v>
      </c>
      <c r="B29" t="s">
        <v>26</v>
      </c>
      <c r="C29" t="s">
        <v>5</v>
      </c>
    </row>
    <row r="30" spans="1:3" x14ac:dyDescent="0.3">
      <c r="A30" s="10" t="s">
        <v>43</v>
      </c>
      <c r="B30" t="s">
        <v>26</v>
      </c>
      <c r="C30" t="s">
        <v>5</v>
      </c>
    </row>
    <row r="31" spans="1:3" x14ac:dyDescent="0.3">
      <c r="A31" s="10" t="s">
        <v>44</v>
      </c>
      <c r="B31" t="s">
        <v>31</v>
      </c>
      <c r="C31" t="s">
        <v>5</v>
      </c>
    </row>
    <row r="32" spans="1:3" x14ac:dyDescent="0.3">
      <c r="A32" s="10" t="s">
        <v>45</v>
      </c>
      <c r="B32" t="s">
        <v>31</v>
      </c>
      <c r="C32" t="s">
        <v>5</v>
      </c>
    </row>
    <row r="33" spans="1:3" x14ac:dyDescent="0.3">
      <c r="A33" s="10" t="s">
        <v>46</v>
      </c>
      <c r="B33" t="s">
        <v>47</v>
      </c>
      <c r="C33" t="s">
        <v>5</v>
      </c>
    </row>
    <row r="34" spans="1:3" x14ac:dyDescent="0.3">
      <c r="A34" s="10" t="s">
        <v>48</v>
      </c>
      <c r="B34" t="s">
        <v>49</v>
      </c>
      <c r="C34" t="s">
        <v>5</v>
      </c>
    </row>
    <row r="35" spans="1:3" x14ac:dyDescent="0.3">
      <c r="A35" s="10" t="s">
        <v>50</v>
      </c>
      <c r="B35" t="s">
        <v>51</v>
      </c>
      <c r="C35" t="s">
        <v>5</v>
      </c>
    </row>
    <row r="36" spans="1:3" x14ac:dyDescent="0.3">
      <c r="A36" s="10" t="s">
        <v>52</v>
      </c>
      <c r="B36" t="s">
        <v>53</v>
      </c>
      <c r="C36" t="s">
        <v>5</v>
      </c>
    </row>
    <row r="37" spans="1:3" x14ac:dyDescent="0.3">
      <c r="A37" s="10" t="s">
        <v>54</v>
      </c>
      <c r="B37" t="s">
        <v>55</v>
      </c>
      <c r="C37" t="s">
        <v>5</v>
      </c>
    </row>
    <row r="38" spans="1:3" x14ac:dyDescent="0.3">
      <c r="A38" s="10" t="s">
        <v>56</v>
      </c>
      <c r="B38" t="s">
        <v>57</v>
      </c>
      <c r="C38" t="s">
        <v>5</v>
      </c>
    </row>
    <row r="39" spans="1:3" x14ac:dyDescent="0.3">
      <c r="A39" s="10" t="s">
        <v>58</v>
      </c>
      <c r="B39" t="s">
        <v>57</v>
      </c>
      <c r="C39" t="s">
        <v>5</v>
      </c>
    </row>
    <row r="40" spans="1:3" x14ac:dyDescent="0.3">
      <c r="A40" s="10" t="s">
        <v>59</v>
      </c>
      <c r="B40" t="s">
        <v>60</v>
      </c>
      <c r="C40" t="s">
        <v>5</v>
      </c>
    </row>
    <row r="41" spans="1:3" x14ac:dyDescent="0.3">
      <c r="A41" s="10" t="s">
        <v>61</v>
      </c>
      <c r="B41" t="s">
        <v>62</v>
      </c>
      <c r="C41" t="s">
        <v>5</v>
      </c>
    </row>
    <row r="42" spans="1:3" x14ac:dyDescent="0.3">
      <c r="A42" s="10" t="s">
        <v>63</v>
      </c>
      <c r="B42" t="s">
        <v>64</v>
      </c>
      <c r="C42" t="s">
        <v>5</v>
      </c>
    </row>
    <row r="43" spans="1:3" x14ac:dyDescent="0.3">
      <c r="A43" s="10" t="s">
        <v>65</v>
      </c>
      <c r="B43" t="s">
        <v>62</v>
      </c>
      <c r="C43" t="s">
        <v>5</v>
      </c>
    </row>
    <row r="44" spans="1:3" x14ac:dyDescent="0.3">
      <c r="A44" s="10" t="s">
        <v>66</v>
      </c>
      <c r="B44" t="s">
        <v>62</v>
      </c>
      <c r="C44" t="s">
        <v>5</v>
      </c>
    </row>
    <row r="45" spans="1:3" x14ac:dyDescent="0.3">
      <c r="A45" s="10" t="s">
        <v>67</v>
      </c>
      <c r="B45" t="s">
        <v>62</v>
      </c>
      <c r="C45" t="s">
        <v>5</v>
      </c>
    </row>
    <row r="46" spans="1:3" x14ac:dyDescent="0.3">
      <c r="A46" s="10" t="s">
        <v>68</v>
      </c>
      <c r="B46" t="s">
        <v>53</v>
      </c>
      <c r="C46" t="s">
        <v>5</v>
      </c>
    </row>
    <row r="47" spans="1:3" x14ac:dyDescent="0.3">
      <c r="A47" s="10" t="s">
        <v>69</v>
      </c>
      <c r="B47" t="s">
        <v>70</v>
      </c>
      <c r="C47" t="s">
        <v>5</v>
      </c>
    </row>
    <row r="48" spans="1:3" x14ac:dyDescent="0.3">
      <c r="A48" s="10" t="s">
        <v>71</v>
      </c>
      <c r="B48" t="s">
        <v>72</v>
      </c>
      <c r="C48" t="s">
        <v>5</v>
      </c>
    </row>
    <row r="49" spans="1:3" x14ac:dyDescent="0.3">
      <c r="A49" s="10" t="s">
        <v>73</v>
      </c>
      <c r="B49" t="s">
        <v>72</v>
      </c>
      <c r="C49" t="s">
        <v>5</v>
      </c>
    </row>
    <row r="50" spans="1:3" x14ac:dyDescent="0.3">
      <c r="A50" s="10" t="s">
        <v>74</v>
      </c>
      <c r="B50" t="s">
        <v>72</v>
      </c>
      <c r="C50" t="s">
        <v>5</v>
      </c>
    </row>
    <row r="51" spans="1:3" x14ac:dyDescent="0.3">
      <c r="A51" s="10" t="s">
        <v>75</v>
      </c>
      <c r="B51" t="s">
        <v>72</v>
      </c>
      <c r="C51" t="s">
        <v>5</v>
      </c>
    </row>
    <row r="52" spans="1:3" x14ac:dyDescent="0.3">
      <c r="A52" s="10" t="s">
        <v>76</v>
      </c>
      <c r="B52" t="s">
        <v>72</v>
      </c>
      <c r="C52" t="s">
        <v>5</v>
      </c>
    </row>
    <row r="53" spans="1:3" x14ac:dyDescent="0.3">
      <c r="A53" s="10" t="s">
        <v>77</v>
      </c>
      <c r="B53" t="s">
        <v>72</v>
      </c>
      <c r="C53" t="s">
        <v>5</v>
      </c>
    </row>
    <row r="54" spans="1:3" x14ac:dyDescent="0.3">
      <c r="A54" s="10" t="s">
        <v>78</v>
      </c>
      <c r="B54" t="s">
        <v>79</v>
      </c>
      <c r="C54" t="s">
        <v>5</v>
      </c>
    </row>
    <row r="55" spans="1:3" x14ac:dyDescent="0.3">
      <c r="A55" s="10" t="s">
        <v>80</v>
      </c>
      <c r="B55" t="s">
        <v>72</v>
      </c>
      <c r="C55" t="s">
        <v>5</v>
      </c>
    </row>
    <row r="56" spans="1:3" x14ac:dyDescent="0.3">
      <c r="A56" s="10" t="s">
        <v>81</v>
      </c>
      <c r="B56" t="s">
        <v>72</v>
      </c>
      <c r="C56" t="s">
        <v>5</v>
      </c>
    </row>
    <row r="57" spans="1:3" x14ac:dyDescent="0.3">
      <c r="A57" s="10" t="s">
        <v>82</v>
      </c>
      <c r="B57" t="s">
        <v>72</v>
      </c>
      <c r="C57" t="s">
        <v>5</v>
      </c>
    </row>
    <row r="58" spans="1:3" x14ac:dyDescent="0.3">
      <c r="A58" s="10" t="s">
        <v>83</v>
      </c>
      <c r="B58" t="s">
        <v>70</v>
      </c>
      <c r="C58" t="s">
        <v>5</v>
      </c>
    </row>
    <row r="59" spans="1:3" x14ac:dyDescent="0.3">
      <c r="A59" s="10" t="s">
        <v>84</v>
      </c>
      <c r="B59" t="s">
        <v>85</v>
      </c>
      <c r="C59" t="s">
        <v>86</v>
      </c>
    </row>
    <row r="60" spans="1:3" x14ac:dyDescent="0.3">
      <c r="A60" s="10" t="s">
        <v>87</v>
      </c>
      <c r="B60" t="s">
        <v>85</v>
      </c>
      <c r="C60" t="s">
        <v>86</v>
      </c>
    </row>
    <row r="61" spans="1:3" x14ac:dyDescent="0.3">
      <c r="A61" s="10" t="s">
        <v>88</v>
      </c>
      <c r="B61" t="s">
        <v>85</v>
      </c>
      <c r="C61" t="s">
        <v>86</v>
      </c>
    </row>
    <row r="62" spans="1:3" x14ac:dyDescent="0.3">
      <c r="A62" s="10" t="s">
        <v>89</v>
      </c>
      <c r="B62" t="s">
        <v>90</v>
      </c>
      <c r="C62" t="s">
        <v>86</v>
      </c>
    </row>
    <row r="63" spans="1:3" x14ac:dyDescent="0.3">
      <c r="A63" s="10" t="s">
        <v>91</v>
      </c>
      <c r="B63" t="s">
        <v>90</v>
      </c>
      <c r="C63" t="s">
        <v>86</v>
      </c>
    </row>
    <row r="64" spans="1:3" x14ac:dyDescent="0.3">
      <c r="A64" s="10" t="s">
        <v>92</v>
      </c>
      <c r="B64" t="s">
        <v>85</v>
      </c>
      <c r="C64" t="s">
        <v>86</v>
      </c>
    </row>
    <row r="65" spans="1:3" x14ac:dyDescent="0.3">
      <c r="A65" s="10" t="s">
        <v>93</v>
      </c>
      <c r="B65" t="s">
        <v>94</v>
      </c>
      <c r="C65" t="s">
        <v>86</v>
      </c>
    </row>
    <row r="66" spans="1:3" x14ac:dyDescent="0.3">
      <c r="A66" s="10" t="s">
        <v>95</v>
      </c>
      <c r="B66" t="s">
        <v>96</v>
      </c>
      <c r="C66" t="s">
        <v>86</v>
      </c>
    </row>
    <row r="67" spans="1:3" x14ac:dyDescent="0.3">
      <c r="A67" s="10" t="s">
        <v>97</v>
      </c>
      <c r="B67" t="s">
        <v>98</v>
      </c>
      <c r="C67" t="s">
        <v>86</v>
      </c>
    </row>
    <row r="68" spans="1:3" x14ac:dyDescent="0.3">
      <c r="A68" s="10" t="s">
        <v>99</v>
      </c>
      <c r="B68" t="s">
        <v>100</v>
      </c>
      <c r="C68" t="s">
        <v>86</v>
      </c>
    </row>
    <row r="69" spans="1:3" x14ac:dyDescent="0.3">
      <c r="A69" s="10" t="s">
        <v>101</v>
      </c>
      <c r="B69" t="s">
        <v>100</v>
      </c>
      <c r="C69" t="s">
        <v>86</v>
      </c>
    </row>
    <row r="70" spans="1:3" x14ac:dyDescent="0.3">
      <c r="A70" s="10" t="s">
        <v>102</v>
      </c>
      <c r="B70" t="s">
        <v>103</v>
      </c>
      <c r="C70" t="s">
        <v>86</v>
      </c>
    </row>
    <row r="71" spans="1:3" x14ac:dyDescent="0.3">
      <c r="A71" s="10" t="s">
        <v>104</v>
      </c>
      <c r="B71" t="s">
        <v>105</v>
      </c>
      <c r="C71" t="s">
        <v>86</v>
      </c>
    </row>
    <row r="72" spans="1:3" x14ac:dyDescent="0.3">
      <c r="A72" s="10" t="s">
        <v>106</v>
      </c>
      <c r="B72" t="s">
        <v>107</v>
      </c>
      <c r="C72" t="s">
        <v>86</v>
      </c>
    </row>
    <row r="73" spans="1:3" x14ac:dyDescent="0.3">
      <c r="A73" s="10" t="s">
        <v>108</v>
      </c>
      <c r="B73" t="s">
        <v>109</v>
      </c>
      <c r="C73" t="s">
        <v>86</v>
      </c>
    </row>
    <row r="74" spans="1:3" x14ac:dyDescent="0.3">
      <c r="A74" s="10" t="s">
        <v>110</v>
      </c>
      <c r="B74" t="s">
        <v>111</v>
      </c>
      <c r="C74" t="s">
        <v>86</v>
      </c>
    </row>
    <row r="75" spans="1:3" x14ac:dyDescent="0.3">
      <c r="A75" s="10" t="s">
        <v>112</v>
      </c>
      <c r="B75" t="s">
        <v>96</v>
      </c>
      <c r="C75" t="s">
        <v>86</v>
      </c>
    </row>
    <row r="76" spans="1:3" x14ac:dyDescent="0.3">
      <c r="A76" s="10" t="s">
        <v>113</v>
      </c>
      <c r="B76" t="s">
        <v>114</v>
      </c>
      <c r="C76" t="s">
        <v>86</v>
      </c>
    </row>
    <row r="77" spans="1:3" x14ac:dyDescent="0.3">
      <c r="A77" s="10" t="s">
        <v>115</v>
      </c>
      <c r="B77" t="s">
        <v>116</v>
      </c>
      <c r="C77" t="s">
        <v>86</v>
      </c>
    </row>
    <row r="78" spans="1:3" x14ac:dyDescent="0.3">
      <c r="A78" s="10" t="s">
        <v>117</v>
      </c>
      <c r="B78" t="s">
        <v>118</v>
      </c>
      <c r="C78" t="s">
        <v>86</v>
      </c>
    </row>
    <row r="79" spans="1:3" x14ac:dyDescent="0.3">
      <c r="A79" s="10" t="s">
        <v>119</v>
      </c>
      <c r="B79" t="s">
        <v>120</v>
      </c>
      <c r="C79" t="s">
        <v>86</v>
      </c>
    </row>
    <row r="80" spans="1:3" x14ac:dyDescent="0.3">
      <c r="A80" s="10" t="s">
        <v>121</v>
      </c>
      <c r="B80" t="s">
        <v>122</v>
      </c>
      <c r="C80" t="s">
        <v>86</v>
      </c>
    </row>
    <row r="81" spans="1:3" x14ac:dyDescent="0.3">
      <c r="A81" s="10" t="s">
        <v>123</v>
      </c>
      <c r="B81" t="s">
        <v>124</v>
      </c>
      <c r="C81" t="s">
        <v>86</v>
      </c>
    </row>
    <row r="82" spans="1:3" x14ac:dyDescent="0.3">
      <c r="A82" s="10" t="s">
        <v>125</v>
      </c>
      <c r="B82" t="s">
        <v>126</v>
      </c>
      <c r="C82" t="s">
        <v>86</v>
      </c>
    </row>
    <row r="83" spans="1:3" x14ac:dyDescent="0.3">
      <c r="A83" s="10" t="s">
        <v>127</v>
      </c>
      <c r="B83" t="s">
        <v>124</v>
      </c>
      <c r="C83" t="s">
        <v>86</v>
      </c>
    </row>
    <row r="84" spans="1:3" x14ac:dyDescent="0.3">
      <c r="A84" s="10" t="s">
        <v>128</v>
      </c>
      <c r="B84" t="s">
        <v>126</v>
      </c>
      <c r="C84" t="s">
        <v>86</v>
      </c>
    </row>
    <row r="85" spans="1:3" x14ac:dyDescent="0.3">
      <c r="A85" s="10" t="s">
        <v>129</v>
      </c>
      <c r="B85" t="s">
        <v>124</v>
      </c>
      <c r="C85" t="s">
        <v>86</v>
      </c>
    </row>
    <row r="86" spans="1:3" x14ac:dyDescent="0.3">
      <c r="A86" s="10" t="s">
        <v>130</v>
      </c>
      <c r="B86" t="s">
        <v>131</v>
      </c>
      <c r="C86" t="s">
        <v>86</v>
      </c>
    </row>
    <row r="87" spans="1:3" x14ac:dyDescent="0.3">
      <c r="A87" s="10" t="s">
        <v>132</v>
      </c>
      <c r="B87" t="s">
        <v>133</v>
      </c>
      <c r="C87" t="s">
        <v>86</v>
      </c>
    </row>
    <row r="88" spans="1:3" x14ac:dyDescent="0.3">
      <c r="A88" s="10" t="s">
        <v>134</v>
      </c>
      <c r="B88" t="s">
        <v>133</v>
      </c>
      <c r="C88" t="s">
        <v>86</v>
      </c>
    </row>
    <row r="89" spans="1:3" x14ac:dyDescent="0.3">
      <c r="A89" s="10" t="s">
        <v>135</v>
      </c>
      <c r="B89" t="s">
        <v>133</v>
      </c>
      <c r="C89" t="s">
        <v>86</v>
      </c>
    </row>
    <row r="90" spans="1:3" x14ac:dyDescent="0.3">
      <c r="A90" s="10" t="s">
        <v>136</v>
      </c>
      <c r="B90" t="s">
        <v>133</v>
      </c>
      <c r="C90" t="s">
        <v>86</v>
      </c>
    </row>
    <row r="91" spans="1:3" x14ac:dyDescent="0.3">
      <c r="A91" s="10" t="s">
        <v>137</v>
      </c>
      <c r="B91" t="s">
        <v>133</v>
      </c>
      <c r="C91" t="s">
        <v>86</v>
      </c>
    </row>
    <row r="92" spans="1:3" x14ac:dyDescent="0.3">
      <c r="A92" s="10" t="s">
        <v>138</v>
      </c>
      <c r="B92" t="s">
        <v>133</v>
      </c>
      <c r="C92" t="s">
        <v>86</v>
      </c>
    </row>
    <row r="93" spans="1:3" x14ac:dyDescent="0.3">
      <c r="A93" s="10" t="s">
        <v>139</v>
      </c>
      <c r="B93" t="s">
        <v>140</v>
      </c>
      <c r="C93" t="s">
        <v>86</v>
      </c>
    </row>
    <row r="94" spans="1:3" x14ac:dyDescent="0.3">
      <c r="A94" s="10" t="s">
        <v>141</v>
      </c>
      <c r="B94" t="s">
        <v>142</v>
      </c>
      <c r="C94" t="s">
        <v>86</v>
      </c>
    </row>
    <row r="95" spans="1:3" x14ac:dyDescent="0.3">
      <c r="A95" s="10" t="s">
        <v>143</v>
      </c>
      <c r="B95" t="s">
        <v>142</v>
      </c>
      <c r="C95" t="s">
        <v>86</v>
      </c>
    </row>
    <row r="96" spans="1:3" x14ac:dyDescent="0.3">
      <c r="A96" s="10" t="s">
        <v>144</v>
      </c>
      <c r="B96" t="s">
        <v>140</v>
      </c>
      <c r="C96" t="s">
        <v>86</v>
      </c>
    </row>
    <row r="97" spans="1:3" x14ac:dyDescent="0.3">
      <c r="A97" s="10" t="s">
        <v>145</v>
      </c>
      <c r="B97" t="s">
        <v>146</v>
      </c>
      <c r="C97" t="s">
        <v>86</v>
      </c>
    </row>
    <row r="98" spans="1:3" x14ac:dyDescent="0.3">
      <c r="A98" s="10" t="s">
        <v>147</v>
      </c>
      <c r="B98" t="s">
        <v>140</v>
      </c>
      <c r="C98" t="s">
        <v>86</v>
      </c>
    </row>
    <row r="99" spans="1:3" x14ac:dyDescent="0.3">
      <c r="A99" s="10" t="s">
        <v>148</v>
      </c>
      <c r="B99" t="s">
        <v>146</v>
      </c>
      <c r="C99" t="s">
        <v>86</v>
      </c>
    </row>
    <row r="100" spans="1:3" x14ac:dyDescent="0.3">
      <c r="A100" s="10" t="s">
        <v>149</v>
      </c>
      <c r="B100" t="s">
        <v>150</v>
      </c>
      <c r="C100" t="s">
        <v>86</v>
      </c>
    </row>
    <row r="101" spans="1:3" x14ac:dyDescent="0.3">
      <c r="A101" s="10" t="s">
        <v>151</v>
      </c>
      <c r="B101" t="s">
        <v>146</v>
      </c>
      <c r="C101" t="s">
        <v>86</v>
      </c>
    </row>
    <row r="102" spans="1:3" x14ac:dyDescent="0.3">
      <c r="A102" s="10" t="s">
        <v>152</v>
      </c>
      <c r="B102" t="s">
        <v>153</v>
      </c>
      <c r="C102" t="s">
        <v>86</v>
      </c>
    </row>
    <row r="103" spans="1:3" x14ac:dyDescent="0.3">
      <c r="A103" s="10" t="s">
        <v>154</v>
      </c>
      <c r="B103" t="s">
        <v>153</v>
      </c>
      <c r="C103" t="s">
        <v>86</v>
      </c>
    </row>
    <row r="104" spans="1:3" x14ac:dyDescent="0.3">
      <c r="A104" s="10" t="s">
        <v>155</v>
      </c>
      <c r="B104" t="s">
        <v>153</v>
      </c>
      <c r="C104" t="s">
        <v>86</v>
      </c>
    </row>
    <row r="105" spans="1:3" x14ac:dyDescent="0.3">
      <c r="A105" s="10" t="s">
        <v>156</v>
      </c>
      <c r="B105" t="s">
        <v>153</v>
      </c>
      <c r="C105" t="s">
        <v>86</v>
      </c>
    </row>
    <row r="106" spans="1:3" x14ac:dyDescent="0.3">
      <c r="A106" s="10" t="s">
        <v>157</v>
      </c>
      <c r="B106" t="s">
        <v>153</v>
      </c>
      <c r="C106" t="s">
        <v>86</v>
      </c>
    </row>
    <row r="107" spans="1:3" x14ac:dyDescent="0.3">
      <c r="A107" s="10" t="s">
        <v>158</v>
      </c>
      <c r="B107" t="s">
        <v>153</v>
      </c>
      <c r="C107" t="s">
        <v>86</v>
      </c>
    </row>
    <row r="108" spans="1:3" x14ac:dyDescent="0.3">
      <c r="A108" s="10" t="s">
        <v>159</v>
      </c>
      <c r="B108" t="s">
        <v>160</v>
      </c>
      <c r="C108" t="s">
        <v>86</v>
      </c>
    </row>
    <row r="109" spans="1:3" x14ac:dyDescent="0.3">
      <c r="A109" s="10" t="s">
        <v>161</v>
      </c>
      <c r="B109" t="s">
        <v>153</v>
      </c>
      <c r="C109" t="s">
        <v>86</v>
      </c>
    </row>
    <row r="110" spans="1:3" x14ac:dyDescent="0.3">
      <c r="A110" s="10" t="s">
        <v>162</v>
      </c>
      <c r="B110" t="s">
        <v>163</v>
      </c>
      <c r="C110" t="s">
        <v>86</v>
      </c>
    </row>
    <row r="112" spans="1:3" x14ac:dyDescent="0.3">
      <c r="A112" s="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4"/>
  <sheetViews>
    <sheetView tabSelected="1" workbookViewId="0">
      <selection activeCell="A220" sqref="A220"/>
    </sheetView>
  </sheetViews>
  <sheetFormatPr baseColWidth="10" defaultColWidth="11.3984375" defaultRowHeight="13" x14ac:dyDescent="0.3"/>
  <cols>
    <col min="1" max="1" width="34" customWidth="1"/>
    <col min="2" max="3" width="5" customWidth="1"/>
    <col min="4" max="5" width="6" customWidth="1"/>
    <col min="6" max="6" width="10" customWidth="1"/>
    <col min="7" max="7" width="46" customWidth="1"/>
    <col min="8" max="10" width="15" customWidth="1"/>
  </cols>
  <sheetData>
    <row r="1" spans="1:10" x14ac:dyDescent="0.3">
      <c r="A1" s="3" t="s">
        <v>165</v>
      </c>
      <c r="B1" s="3" t="s">
        <v>166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173</v>
      </c>
      <c r="J1" s="3" t="s">
        <v>174</v>
      </c>
    </row>
    <row r="2" spans="1:10" x14ac:dyDescent="0.3">
      <c r="A2" t="s">
        <v>4</v>
      </c>
      <c r="B2" t="str">
        <f t="shared" ref="B2:B65" si="0">LEFT($F2,1)</f>
        <v>1</v>
      </c>
      <c r="C2" t="str">
        <f t="shared" ref="C2:C65" si="1">LEFT($F2,2)</f>
        <v>10</v>
      </c>
      <c r="D2" t="str">
        <f t="shared" ref="D2:D65" si="2">LEFT($F2,3)</f>
        <v>101</v>
      </c>
      <c r="E2" t="str">
        <f t="shared" ref="E2:E65" si="3">LEFT($F2,4)</f>
        <v>1011</v>
      </c>
      <c r="F2" s="10" t="s">
        <v>175</v>
      </c>
      <c r="G2" t="s">
        <v>176</v>
      </c>
      <c r="H2" s="5">
        <v>-2000000000</v>
      </c>
      <c r="I2" s="5">
        <v>-2000000000</v>
      </c>
      <c r="J2" s="5">
        <v>-2000000000</v>
      </c>
    </row>
    <row r="3" spans="1:10" x14ac:dyDescent="0.3">
      <c r="A3" t="s">
        <v>4</v>
      </c>
      <c r="B3" t="str">
        <f t="shared" si="0"/>
        <v>1</v>
      </c>
      <c r="C3" t="str">
        <f t="shared" si="1"/>
        <v>10</v>
      </c>
      <c r="D3" t="str">
        <f t="shared" si="2"/>
        <v>106</v>
      </c>
      <c r="E3" t="str">
        <f t="shared" si="3"/>
        <v>1062</v>
      </c>
      <c r="F3" s="10" t="s">
        <v>177</v>
      </c>
      <c r="G3" t="s">
        <v>178</v>
      </c>
      <c r="H3" s="5">
        <v>-3988025341</v>
      </c>
      <c r="I3" s="5">
        <v>-3988025341</v>
      </c>
      <c r="J3" s="5">
        <v>-3988025341</v>
      </c>
    </row>
    <row r="4" spans="1:10" x14ac:dyDescent="0.3">
      <c r="A4" t="s">
        <v>9</v>
      </c>
      <c r="B4" t="str">
        <f t="shared" si="0"/>
        <v>1</v>
      </c>
      <c r="C4" t="str">
        <f t="shared" si="1"/>
        <v>12</v>
      </c>
      <c r="D4" t="str">
        <f t="shared" si="2"/>
        <v>121</v>
      </c>
      <c r="E4" t="str">
        <f t="shared" si="3"/>
        <v>1211</v>
      </c>
      <c r="F4" s="10" t="s">
        <v>179</v>
      </c>
      <c r="G4" t="s">
        <v>180</v>
      </c>
      <c r="H4" s="5">
        <v>889045172</v>
      </c>
      <c r="I4" s="5">
        <v>-409392982</v>
      </c>
      <c r="J4" s="5">
        <v>-2650708629</v>
      </c>
    </row>
    <row r="5" spans="1:10" x14ac:dyDescent="0.3">
      <c r="A5" t="s">
        <v>16</v>
      </c>
      <c r="B5" t="str">
        <f t="shared" si="0"/>
        <v>1</v>
      </c>
      <c r="C5" t="str">
        <f t="shared" si="1"/>
        <v>16</v>
      </c>
      <c r="D5" t="str">
        <f t="shared" si="2"/>
        <v>161</v>
      </c>
      <c r="E5" t="str">
        <f t="shared" si="3"/>
        <v>1611</v>
      </c>
      <c r="F5" s="10" t="s">
        <v>181</v>
      </c>
      <c r="G5" t="s">
        <v>182</v>
      </c>
      <c r="H5" s="5">
        <v>-2996428399</v>
      </c>
      <c r="I5" s="5">
        <v>-1803571207</v>
      </c>
      <c r="J5" s="5">
        <v>-610714017</v>
      </c>
    </row>
    <row r="6" spans="1:10" x14ac:dyDescent="0.3">
      <c r="A6" t="s">
        <v>16</v>
      </c>
      <c r="B6" t="str">
        <f t="shared" si="0"/>
        <v>1</v>
      </c>
      <c r="C6" t="str">
        <f t="shared" si="1"/>
        <v>16</v>
      </c>
      <c r="D6" t="str">
        <f t="shared" si="2"/>
        <v>161</v>
      </c>
      <c r="E6" t="str">
        <f t="shared" si="3"/>
        <v>1612</v>
      </c>
      <c r="F6" s="10" t="s">
        <v>183</v>
      </c>
      <c r="G6" t="s">
        <v>184</v>
      </c>
      <c r="H6" s="5">
        <v>-4722890400</v>
      </c>
      <c r="I6" s="5">
        <v>-2361445200</v>
      </c>
      <c r="J6" s="5">
        <v>-2361445200</v>
      </c>
    </row>
    <row r="7" spans="1:10" x14ac:dyDescent="0.3">
      <c r="A7" t="s">
        <v>16</v>
      </c>
      <c r="B7" t="str">
        <f t="shared" si="0"/>
        <v>1</v>
      </c>
      <c r="C7" t="str">
        <f t="shared" si="1"/>
        <v>16</v>
      </c>
      <c r="D7" t="str">
        <f t="shared" si="2"/>
        <v>161</v>
      </c>
      <c r="E7" t="str">
        <f t="shared" si="3"/>
        <v>1613</v>
      </c>
      <c r="F7" s="10" t="s">
        <v>185</v>
      </c>
      <c r="G7" t="s">
        <v>186</v>
      </c>
      <c r="H7" s="5">
        <v>-3930000000</v>
      </c>
      <c r="I7" s="5">
        <v>-9930000000</v>
      </c>
      <c r="J7" s="5">
        <v>-9930000000</v>
      </c>
    </row>
    <row r="8" spans="1:10" x14ac:dyDescent="0.3">
      <c r="A8" t="s">
        <v>16</v>
      </c>
      <c r="B8" t="str">
        <f t="shared" si="0"/>
        <v>1</v>
      </c>
      <c r="C8" t="str">
        <f t="shared" si="1"/>
        <v>16</v>
      </c>
      <c r="D8" t="str">
        <f t="shared" si="2"/>
        <v>162</v>
      </c>
      <c r="E8" t="str">
        <f t="shared" si="3"/>
        <v>1626</v>
      </c>
      <c r="F8" s="10" t="s">
        <v>187</v>
      </c>
      <c r="G8" t="s">
        <v>188</v>
      </c>
      <c r="H8" s="5">
        <v>-617290063</v>
      </c>
      <c r="I8" s="5">
        <v>-466484731</v>
      </c>
      <c r="J8" s="5">
        <v>-303163273</v>
      </c>
    </row>
    <row r="9" spans="1:10" x14ac:dyDescent="0.3">
      <c r="A9" t="s">
        <v>16</v>
      </c>
      <c r="B9" t="str">
        <f t="shared" si="0"/>
        <v>1</v>
      </c>
      <c r="C9" t="str">
        <f t="shared" si="1"/>
        <v>16</v>
      </c>
      <c r="D9" t="str">
        <f t="shared" si="2"/>
        <v>165</v>
      </c>
      <c r="E9" t="str">
        <f t="shared" si="3"/>
        <v>1652</v>
      </c>
      <c r="F9" s="10" t="s">
        <v>189</v>
      </c>
      <c r="G9" t="s">
        <v>190</v>
      </c>
      <c r="H9" s="5">
        <v>-3200000</v>
      </c>
      <c r="I9" s="5">
        <v>-3200000</v>
      </c>
      <c r="J9" s="5">
        <v>-3200000</v>
      </c>
    </row>
    <row r="10" spans="1:10" x14ac:dyDescent="0.3">
      <c r="A10" t="s">
        <v>16</v>
      </c>
      <c r="B10" t="str">
        <f t="shared" si="0"/>
        <v>1</v>
      </c>
      <c r="C10" t="str">
        <f t="shared" si="1"/>
        <v>16</v>
      </c>
      <c r="D10" t="str">
        <f t="shared" si="2"/>
        <v>166</v>
      </c>
      <c r="E10" t="str">
        <f t="shared" si="3"/>
        <v>1661</v>
      </c>
      <c r="F10" s="10" t="s">
        <v>191</v>
      </c>
      <c r="G10" t="s">
        <v>192</v>
      </c>
      <c r="H10" s="5">
        <v>-266932720</v>
      </c>
      <c r="I10" s="5">
        <v>-508916932</v>
      </c>
      <c r="J10" s="5">
        <v>-538281619</v>
      </c>
    </row>
    <row r="11" spans="1:10" x14ac:dyDescent="0.3">
      <c r="A11" t="s">
        <v>18</v>
      </c>
      <c r="B11" t="str">
        <f t="shared" si="0"/>
        <v>1</v>
      </c>
      <c r="C11" t="str">
        <f t="shared" si="1"/>
        <v>17</v>
      </c>
      <c r="D11" t="str">
        <f t="shared" si="2"/>
        <v>173</v>
      </c>
      <c r="E11" t="str">
        <f t="shared" si="3"/>
        <v>1732</v>
      </c>
      <c r="F11" s="10" t="s">
        <v>193</v>
      </c>
      <c r="G11" t="s">
        <v>194</v>
      </c>
      <c r="H11" s="5">
        <v>-167798150</v>
      </c>
      <c r="I11" s="5">
        <v>-81427230</v>
      </c>
      <c r="J11" s="5">
        <v>1</v>
      </c>
    </row>
    <row r="12" spans="1:10" x14ac:dyDescent="0.3">
      <c r="A12" t="s">
        <v>21</v>
      </c>
      <c r="B12" t="str">
        <f t="shared" si="0"/>
        <v>1</v>
      </c>
      <c r="C12" t="str">
        <f t="shared" si="1"/>
        <v>19</v>
      </c>
      <c r="D12" t="str">
        <f t="shared" si="2"/>
        <v>191</v>
      </c>
      <c r="E12" t="str">
        <f t="shared" si="3"/>
        <v>1910</v>
      </c>
      <c r="F12" s="10" t="s">
        <v>195</v>
      </c>
      <c r="G12" t="s">
        <v>196</v>
      </c>
      <c r="H12" s="5">
        <v>-30017736</v>
      </c>
      <c r="I12" s="5">
        <v>-30017736</v>
      </c>
      <c r="J12" s="5">
        <v>-30017736</v>
      </c>
    </row>
    <row r="13" spans="1:10" x14ac:dyDescent="0.3">
      <c r="A13" t="s">
        <v>21</v>
      </c>
      <c r="B13" t="str">
        <f t="shared" si="0"/>
        <v>1</v>
      </c>
      <c r="C13" t="str">
        <f t="shared" si="1"/>
        <v>19</v>
      </c>
      <c r="D13" t="str">
        <f t="shared" si="2"/>
        <v>196</v>
      </c>
      <c r="E13" t="str">
        <f t="shared" si="3"/>
        <v>1961</v>
      </c>
      <c r="F13" s="10" t="s">
        <v>197</v>
      </c>
      <c r="G13" t="s">
        <v>198</v>
      </c>
      <c r="H13" s="5">
        <v>-210838607</v>
      </c>
      <c r="I13" s="5">
        <v>-74839973</v>
      </c>
      <c r="J13" s="5">
        <v>-54776571</v>
      </c>
    </row>
    <row r="14" spans="1:10" x14ac:dyDescent="0.3">
      <c r="A14" t="s">
        <v>23</v>
      </c>
      <c r="B14" t="str">
        <f t="shared" si="0"/>
        <v>2</v>
      </c>
      <c r="C14" t="str">
        <f t="shared" si="1"/>
        <v>21</v>
      </c>
      <c r="D14" t="str">
        <f t="shared" si="2"/>
        <v>213</v>
      </c>
      <c r="E14" t="str">
        <f t="shared" si="3"/>
        <v>2131</v>
      </c>
      <c r="F14" s="10" t="s">
        <v>199</v>
      </c>
      <c r="G14" t="s">
        <v>200</v>
      </c>
      <c r="H14" s="5">
        <v>103624707</v>
      </c>
      <c r="I14" s="5">
        <v>103624707</v>
      </c>
      <c r="J14" s="5">
        <v>103624707</v>
      </c>
    </row>
    <row r="15" spans="1:10" x14ac:dyDescent="0.3">
      <c r="A15" t="s">
        <v>23</v>
      </c>
      <c r="B15" t="str">
        <f t="shared" si="0"/>
        <v>2</v>
      </c>
      <c r="C15" t="str">
        <f t="shared" si="1"/>
        <v>21</v>
      </c>
      <c r="D15" t="str">
        <f t="shared" si="2"/>
        <v>213</v>
      </c>
      <c r="E15" t="str">
        <f t="shared" si="3"/>
        <v>2131</v>
      </c>
      <c r="F15" s="10" t="s">
        <v>201</v>
      </c>
      <c r="G15" t="s">
        <v>202</v>
      </c>
      <c r="H15" s="5">
        <v>1427580</v>
      </c>
      <c r="I15" s="5">
        <v>1427580</v>
      </c>
      <c r="J15" s="5">
        <v>1427580</v>
      </c>
    </row>
    <row r="16" spans="1:10" x14ac:dyDescent="0.3">
      <c r="A16" t="s">
        <v>26</v>
      </c>
      <c r="B16" t="str">
        <f t="shared" si="0"/>
        <v>2</v>
      </c>
      <c r="C16" t="str">
        <f t="shared" si="1"/>
        <v>23</v>
      </c>
      <c r="D16" t="str">
        <f t="shared" si="2"/>
        <v>232</v>
      </c>
      <c r="E16" t="str">
        <f t="shared" si="3"/>
        <v>2322</v>
      </c>
      <c r="F16" s="10" t="s">
        <v>203</v>
      </c>
      <c r="G16" t="s">
        <v>204</v>
      </c>
      <c r="H16" s="5">
        <v>11380000</v>
      </c>
      <c r="I16" s="5">
        <v>41516212</v>
      </c>
      <c r="J16" s="5">
        <v>41516212</v>
      </c>
    </row>
    <row r="17" spans="1:10" x14ac:dyDescent="0.3">
      <c r="A17" t="s">
        <v>26</v>
      </c>
      <c r="B17" t="str">
        <f t="shared" si="0"/>
        <v>2</v>
      </c>
      <c r="C17" t="str">
        <f t="shared" si="1"/>
        <v>23</v>
      </c>
      <c r="D17" t="str">
        <f t="shared" si="2"/>
        <v>232</v>
      </c>
      <c r="E17" t="str">
        <f t="shared" si="3"/>
        <v>2328</v>
      </c>
      <c r="F17" s="10" t="s">
        <v>205</v>
      </c>
      <c r="G17" t="s">
        <v>206</v>
      </c>
      <c r="H17" s="5">
        <v>10694916</v>
      </c>
      <c r="I17" s="5">
        <v>10694916</v>
      </c>
      <c r="J17" s="5">
        <v>10694916</v>
      </c>
    </row>
    <row r="18" spans="1:10" x14ac:dyDescent="0.3">
      <c r="A18" t="s">
        <v>26</v>
      </c>
      <c r="B18" t="str">
        <f t="shared" si="0"/>
        <v>2</v>
      </c>
      <c r="C18" t="str">
        <f t="shared" si="1"/>
        <v>23</v>
      </c>
      <c r="D18" t="str">
        <f t="shared" si="2"/>
        <v>232</v>
      </c>
      <c r="E18" t="str">
        <f t="shared" si="3"/>
        <v>2328</v>
      </c>
      <c r="F18" s="10" t="s">
        <v>207</v>
      </c>
      <c r="G18" t="s">
        <v>208</v>
      </c>
      <c r="H18" s="5">
        <v>6745534</v>
      </c>
      <c r="I18" s="5">
        <v>6745534</v>
      </c>
      <c r="J18" s="5">
        <v>6745534</v>
      </c>
    </row>
    <row r="19" spans="1:10" x14ac:dyDescent="0.3">
      <c r="A19" t="s">
        <v>26</v>
      </c>
      <c r="B19" t="str">
        <f t="shared" si="0"/>
        <v>2</v>
      </c>
      <c r="C19" t="str">
        <f t="shared" si="1"/>
        <v>23</v>
      </c>
      <c r="D19" t="str">
        <f t="shared" si="2"/>
        <v>236</v>
      </c>
      <c r="E19" t="str">
        <f t="shared" si="3"/>
        <v>2361</v>
      </c>
      <c r="F19" s="10" t="s">
        <v>209</v>
      </c>
      <c r="G19" t="s">
        <v>210</v>
      </c>
      <c r="H19" s="5">
        <v>3554714</v>
      </c>
      <c r="I19" s="5">
        <v>3554714</v>
      </c>
      <c r="J19" s="5">
        <v>3554714</v>
      </c>
    </row>
    <row r="20" spans="1:10" x14ac:dyDescent="0.3">
      <c r="A20" t="s">
        <v>26</v>
      </c>
      <c r="B20" t="str">
        <f t="shared" si="0"/>
        <v>2</v>
      </c>
      <c r="C20" t="str">
        <f t="shared" si="1"/>
        <v>23</v>
      </c>
      <c r="D20" t="str">
        <f t="shared" si="2"/>
        <v>236</v>
      </c>
      <c r="E20" t="str">
        <f t="shared" si="3"/>
        <v>2362</v>
      </c>
      <c r="F20" s="10" t="s">
        <v>211</v>
      </c>
      <c r="G20" t="s">
        <v>212</v>
      </c>
      <c r="H20" s="5">
        <v>61838087</v>
      </c>
      <c r="I20" s="5">
        <v>61838087</v>
      </c>
      <c r="J20" s="5">
        <v>61838087</v>
      </c>
    </row>
    <row r="21" spans="1:10" x14ac:dyDescent="0.3">
      <c r="A21" t="s">
        <v>26</v>
      </c>
      <c r="B21" t="str">
        <f t="shared" si="0"/>
        <v>2</v>
      </c>
      <c r="C21" t="str">
        <f t="shared" si="1"/>
        <v>23</v>
      </c>
      <c r="D21" t="str">
        <f t="shared" si="2"/>
        <v>238</v>
      </c>
      <c r="E21" t="str">
        <f t="shared" si="3"/>
        <v>2380</v>
      </c>
      <c r="F21" s="10" t="s">
        <v>213</v>
      </c>
      <c r="G21" t="s">
        <v>214</v>
      </c>
      <c r="H21" s="5">
        <v>14166600</v>
      </c>
      <c r="I21" s="5">
        <v>14166600</v>
      </c>
      <c r="J21" s="5">
        <v>14166600</v>
      </c>
    </row>
    <row r="22" spans="1:10" x14ac:dyDescent="0.3">
      <c r="A22" t="s">
        <v>26</v>
      </c>
      <c r="B22" t="str">
        <f t="shared" si="0"/>
        <v>2</v>
      </c>
      <c r="C22" t="str">
        <f t="shared" si="1"/>
        <v>23</v>
      </c>
      <c r="D22" t="str">
        <f t="shared" si="2"/>
        <v>238</v>
      </c>
      <c r="E22" t="str">
        <f t="shared" si="3"/>
        <v>2385</v>
      </c>
      <c r="F22" s="10" t="s">
        <v>215</v>
      </c>
      <c r="G22" t="s">
        <v>216</v>
      </c>
      <c r="H22" s="5">
        <v>2064948</v>
      </c>
      <c r="I22" s="5">
        <v>2064948</v>
      </c>
      <c r="J22" s="5">
        <v>2064948</v>
      </c>
    </row>
    <row r="23" spans="1:10" x14ac:dyDescent="0.3">
      <c r="A23" t="s">
        <v>26</v>
      </c>
      <c r="B23" t="str">
        <f t="shared" si="0"/>
        <v>2</v>
      </c>
      <c r="C23" t="str">
        <f t="shared" si="1"/>
        <v>23</v>
      </c>
      <c r="D23" t="str">
        <f t="shared" si="2"/>
        <v>238</v>
      </c>
      <c r="E23" t="str">
        <f t="shared" si="3"/>
        <v>2386</v>
      </c>
      <c r="F23" s="10" t="s">
        <v>217</v>
      </c>
      <c r="G23" t="s">
        <v>218</v>
      </c>
      <c r="H23" s="5">
        <v>38071387</v>
      </c>
      <c r="I23" s="5">
        <v>38071387</v>
      </c>
      <c r="J23" s="5">
        <v>38071387</v>
      </c>
    </row>
    <row r="24" spans="1:10" x14ac:dyDescent="0.3">
      <c r="A24" t="s">
        <v>26</v>
      </c>
      <c r="B24" t="str">
        <f t="shared" si="0"/>
        <v>2</v>
      </c>
      <c r="C24" t="str">
        <f t="shared" si="1"/>
        <v>24</v>
      </c>
      <c r="D24" t="str">
        <f t="shared" si="2"/>
        <v>241</v>
      </c>
      <c r="E24" t="str">
        <f t="shared" si="3"/>
        <v>2411</v>
      </c>
      <c r="F24" s="10" t="s">
        <v>219</v>
      </c>
      <c r="G24" t="s">
        <v>220</v>
      </c>
      <c r="H24" s="5">
        <v>15035338275</v>
      </c>
      <c r="I24" s="5">
        <v>15280063466</v>
      </c>
      <c r="J24" s="5">
        <v>15303130266</v>
      </c>
    </row>
    <row r="25" spans="1:10" x14ac:dyDescent="0.3">
      <c r="A25" t="s">
        <v>26</v>
      </c>
      <c r="B25" t="str">
        <f t="shared" si="0"/>
        <v>2</v>
      </c>
      <c r="C25" t="str">
        <f t="shared" si="1"/>
        <v>24</v>
      </c>
      <c r="D25" t="str">
        <f t="shared" si="2"/>
        <v>242</v>
      </c>
      <c r="E25" t="str">
        <f t="shared" si="3"/>
        <v>2420</v>
      </c>
      <c r="F25" s="10" t="s">
        <v>221</v>
      </c>
      <c r="G25" t="s">
        <v>222</v>
      </c>
      <c r="H25" s="5">
        <v>27400874</v>
      </c>
      <c r="I25" s="5">
        <v>27400874</v>
      </c>
      <c r="J25" s="5">
        <v>27400874</v>
      </c>
    </row>
    <row r="26" spans="1:10" x14ac:dyDescent="0.3">
      <c r="A26" t="s">
        <v>26</v>
      </c>
      <c r="B26" t="str">
        <f t="shared" si="0"/>
        <v>2</v>
      </c>
      <c r="C26" t="str">
        <f t="shared" si="1"/>
        <v>24</v>
      </c>
      <c r="D26" t="str">
        <f t="shared" si="2"/>
        <v>242</v>
      </c>
      <c r="E26" t="str">
        <f t="shared" si="3"/>
        <v>2421</v>
      </c>
      <c r="F26" s="10" t="s">
        <v>223</v>
      </c>
      <c r="G26" t="s">
        <v>224</v>
      </c>
      <c r="H26" s="5">
        <v>388981918</v>
      </c>
      <c r="I26" s="5">
        <v>388981918</v>
      </c>
      <c r="J26" s="5">
        <v>388981918</v>
      </c>
    </row>
    <row r="27" spans="1:10" x14ac:dyDescent="0.3">
      <c r="A27" t="s">
        <v>26</v>
      </c>
      <c r="B27" t="str">
        <f t="shared" si="0"/>
        <v>2</v>
      </c>
      <c r="C27" t="str">
        <f t="shared" si="1"/>
        <v>24</v>
      </c>
      <c r="D27" t="str">
        <f t="shared" si="2"/>
        <v>242</v>
      </c>
      <c r="E27" t="str">
        <f t="shared" si="3"/>
        <v>2422</v>
      </c>
      <c r="F27" s="10" t="s">
        <v>225</v>
      </c>
      <c r="G27" t="s">
        <v>226</v>
      </c>
      <c r="H27" s="5">
        <v>7218507</v>
      </c>
      <c r="I27" s="5">
        <v>7218507</v>
      </c>
      <c r="J27" s="5">
        <v>7218507</v>
      </c>
    </row>
    <row r="28" spans="1:10" x14ac:dyDescent="0.3">
      <c r="A28" t="s">
        <v>26</v>
      </c>
      <c r="B28" t="str">
        <f t="shared" si="0"/>
        <v>2</v>
      </c>
      <c r="C28" t="str">
        <f t="shared" si="1"/>
        <v>24</v>
      </c>
      <c r="D28" t="str">
        <f t="shared" si="2"/>
        <v>244</v>
      </c>
      <c r="E28" t="str">
        <f t="shared" si="3"/>
        <v>2441</v>
      </c>
      <c r="F28" s="10" t="s">
        <v>227</v>
      </c>
      <c r="G28" t="s">
        <v>228</v>
      </c>
      <c r="H28" s="5">
        <v>25735721</v>
      </c>
      <c r="I28" s="5">
        <v>25735721</v>
      </c>
      <c r="J28" s="5">
        <v>25735721</v>
      </c>
    </row>
    <row r="29" spans="1:10" x14ac:dyDescent="0.3">
      <c r="A29" t="s">
        <v>26</v>
      </c>
      <c r="B29" t="str">
        <f t="shared" si="0"/>
        <v>2</v>
      </c>
      <c r="C29" t="str">
        <f t="shared" si="1"/>
        <v>24</v>
      </c>
      <c r="D29" t="str">
        <f t="shared" si="2"/>
        <v>244</v>
      </c>
      <c r="E29" t="str">
        <f t="shared" si="3"/>
        <v>2442</v>
      </c>
      <c r="F29" s="10" t="s">
        <v>229</v>
      </c>
      <c r="G29" t="s">
        <v>230</v>
      </c>
      <c r="H29" s="5">
        <v>34585304</v>
      </c>
      <c r="I29" s="5">
        <v>34585304</v>
      </c>
      <c r="J29" s="5">
        <v>34585304</v>
      </c>
    </row>
    <row r="30" spans="1:10" x14ac:dyDescent="0.3">
      <c r="A30" t="s">
        <v>26</v>
      </c>
      <c r="B30" t="str">
        <f t="shared" si="0"/>
        <v>2</v>
      </c>
      <c r="C30" t="str">
        <f t="shared" si="1"/>
        <v>24</v>
      </c>
      <c r="D30" t="str">
        <f t="shared" si="2"/>
        <v>244</v>
      </c>
      <c r="E30" t="str">
        <f t="shared" si="3"/>
        <v>2442</v>
      </c>
      <c r="F30" s="10" t="s">
        <v>231</v>
      </c>
      <c r="G30" t="s">
        <v>232</v>
      </c>
      <c r="H30" s="5">
        <v>4119252</v>
      </c>
      <c r="I30" s="5">
        <v>4119252</v>
      </c>
      <c r="J30" s="5">
        <v>5699252</v>
      </c>
    </row>
    <row r="31" spans="1:10" x14ac:dyDescent="0.3">
      <c r="A31" t="s">
        <v>26</v>
      </c>
      <c r="B31" t="str">
        <f t="shared" si="0"/>
        <v>2</v>
      </c>
      <c r="C31" t="str">
        <f t="shared" si="1"/>
        <v>24</v>
      </c>
      <c r="D31" t="str">
        <f t="shared" si="2"/>
        <v>244</v>
      </c>
      <c r="E31" t="str">
        <f t="shared" si="3"/>
        <v>2442</v>
      </c>
      <c r="F31" s="10" t="s">
        <v>233</v>
      </c>
      <c r="G31" t="s">
        <v>234</v>
      </c>
      <c r="H31" s="5">
        <v>849625</v>
      </c>
      <c r="I31" s="5">
        <v>2574625</v>
      </c>
      <c r="J31" s="5">
        <v>3359625</v>
      </c>
    </row>
    <row r="32" spans="1:10" x14ac:dyDescent="0.3">
      <c r="A32" t="s">
        <v>26</v>
      </c>
      <c r="B32" t="str">
        <f t="shared" si="0"/>
        <v>2</v>
      </c>
      <c r="C32" t="str">
        <f t="shared" si="1"/>
        <v>24</v>
      </c>
      <c r="D32" t="str">
        <f t="shared" si="2"/>
        <v>244</v>
      </c>
      <c r="E32" t="str">
        <f t="shared" si="3"/>
        <v>2442</v>
      </c>
      <c r="F32" s="10" t="s">
        <v>235</v>
      </c>
      <c r="G32" t="s">
        <v>236</v>
      </c>
      <c r="H32" s="5">
        <v>188000</v>
      </c>
      <c r="I32" s="5">
        <v>578000</v>
      </c>
      <c r="J32" s="5">
        <v>578000</v>
      </c>
    </row>
    <row r="33" spans="1:10" x14ac:dyDescent="0.3">
      <c r="A33" t="s">
        <v>26</v>
      </c>
      <c r="B33" t="str">
        <f t="shared" si="0"/>
        <v>2</v>
      </c>
      <c r="C33" t="str">
        <f t="shared" si="1"/>
        <v>24</v>
      </c>
      <c r="D33" t="str">
        <f t="shared" si="2"/>
        <v>244</v>
      </c>
      <c r="E33" t="str">
        <f t="shared" si="3"/>
        <v>2442</v>
      </c>
      <c r="F33" s="10" t="s">
        <v>237</v>
      </c>
      <c r="G33" t="s">
        <v>238</v>
      </c>
      <c r="H33" s="5">
        <v>8594355</v>
      </c>
      <c r="I33" s="5">
        <v>13719355</v>
      </c>
      <c r="J33" s="5">
        <v>15792355</v>
      </c>
    </row>
    <row r="34" spans="1:10" x14ac:dyDescent="0.3">
      <c r="A34" t="s">
        <v>26</v>
      </c>
      <c r="B34" t="str">
        <f t="shared" si="0"/>
        <v>2</v>
      </c>
      <c r="C34" t="str">
        <f t="shared" si="1"/>
        <v>24</v>
      </c>
      <c r="D34" t="str">
        <f t="shared" si="2"/>
        <v>244</v>
      </c>
      <c r="E34" t="str">
        <f t="shared" si="3"/>
        <v>2443</v>
      </c>
      <c r="F34" s="10" t="s">
        <v>239</v>
      </c>
      <c r="G34" t="s">
        <v>240</v>
      </c>
      <c r="H34" s="5">
        <v>4547110</v>
      </c>
      <c r="I34" s="5">
        <v>4547110</v>
      </c>
      <c r="J34" s="5">
        <v>4547110</v>
      </c>
    </row>
    <row r="35" spans="1:10" x14ac:dyDescent="0.3">
      <c r="A35" t="s">
        <v>26</v>
      </c>
      <c r="B35" t="str">
        <f t="shared" si="0"/>
        <v>2</v>
      </c>
      <c r="C35" t="str">
        <f t="shared" si="1"/>
        <v>24</v>
      </c>
      <c r="D35" t="str">
        <f t="shared" si="2"/>
        <v>244</v>
      </c>
      <c r="E35" t="str">
        <f t="shared" si="3"/>
        <v>2443</v>
      </c>
      <c r="F35" s="10" t="s">
        <v>241</v>
      </c>
      <c r="G35" t="s">
        <v>242</v>
      </c>
      <c r="H35" s="5">
        <v>5345335</v>
      </c>
      <c r="I35" s="5">
        <v>5345335</v>
      </c>
      <c r="J35" s="5">
        <v>7416135</v>
      </c>
    </row>
    <row r="36" spans="1:10" x14ac:dyDescent="0.3">
      <c r="A36" t="s">
        <v>26</v>
      </c>
      <c r="B36" t="str">
        <f t="shared" si="0"/>
        <v>2</v>
      </c>
      <c r="C36" t="str">
        <f t="shared" si="1"/>
        <v>24</v>
      </c>
      <c r="D36" t="str">
        <f t="shared" si="2"/>
        <v>244</v>
      </c>
      <c r="E36" t="str">
        <f t="shared" si="3"/>
        <v>2443</v>
      </c>
      <c r="F36" s="10" t="s">
        <v>243</v>
      </c>
      <c r="G36" t="s">
        <v>244</v>
      </c>
      <c r="H36" s="5">
        <v>1210849</v>
      </c>
      <c r="I36" s="5">
        <v>1225849</v>
      </c>
      <c r="J36" s="5">
        <v>1225849</v>
      </c>
    </row>
    <row r="37" spans="1:10" x14ac:dyDescent="0.3">
      <c r="A37" t="s">
        <v>26</v>
      </c>
      <c r="B37" t="str">
        <f t="shared" si="0"/>
        <v>2</v>
      </c>
      <c r="C37" t="str">
        <f t="shared" si="1"/>
        <v>24</v>
      </c>
      <c r="D37" t="str">
        <f t="shared" si="2"/>
        <v>244</v>
      </c>
      <c r="E37" t="str">
        <f t="shared" si="3"/>
        <v>2444</v>
      </c>
      <c r="F37" s="10" t="s">
        <v>245</v>
      </c>
      <c r="G37" t="s">
        <v>246</v>
      </c>
      <c r="H37" s="5">
        <v>20101991</v>
      </c>
      <c r="I37" s="5">
        <v>20101991</v>
      </c>
      <c r="J37" s="5">
        <v>20101991</v>
      </c>
    </row>
    <row r="38" spans="1:10" x14ac:dyDescent="0.3">
      <c r="A38" t="s">
        <v>26</v>
      </c>
      <c r="B38" t="str">
        <f t="shared" si="0"/>
        <v>2</v>
      </c>
      <c r="C38" t="str">
        <f t="shared" si="1"/>
        <v>24</v>
      </c>
      <c r="D38" t="str">
        <f t="shared" si="2"/>
        <v>244</v>
      </c>
      <c r="E38" t="str">
        <f t="shared" si="3"/>
        <v>2444</v>
      </c>
      <c r="F38" s="10" t="s">
        <v>247</v>
      </c>
      <c r="G38" t="s">
        <v>248</v>
      </c>
      <c r="H38" s="5">
        <v>305086</v>
      </c>
      <c r="I38" s="5">
        <v>305086</v>
      </c>
      <c r="J38" s="5">
        <v>305086</v>
      </c>
    </row>
    <row r="39" spans="1:10" x14ac:dyDescent="0.3">
      <c r="A39" t="s">
        <v>26</v>
      </c>
      <c r="B39" t="str">
        <f t="shared" si="0"/>
        <v>2</v>
      </c>
      <c r="C39" t="str">
        <f t="shared" si="1"/>
        <v>24</v>
      </c>
      <c r="D39" t="str">
        <f t="shared" si="2"/>
        <v>244</v>
      </c>
      <c r="E39" t="str">
        <f t="shared" si="3"/>
        <v>2444</v>
      </c>
      <c r="F39" s="10" t="s">
        <v>249</v>
      </c>
      <c r="G39" t="s">
        <v>250</v>
      </c>
      <c r="H39" s="5">
        <v>2766525</v>
      </c>
      <c r="I39" s="5">
        <v>2766525</v>
      </c>
      <c r="J39" s="5">
        <v>2766525</v>
      </c>
    </row>
    <row r="40" spans="1:10" x14ac:dyDescent="0.3">
      <c r="A40" t="s">
        <v>26</v>
      </c>
      <c r="B40" t="str">
        <f t="shared" si="0"/>
        <v>2</v>
      </c>
      <c r="C40" t="str">
        <f t="shared" si="1"/>
        <v>24</v>
      </c>
      <c r="D40" t="str">
        <f t="shared" si="2"/>
        <v>244</v>
      </c>
      <c r="E40" t="str">
        <f t="shared" si="3"/>
        <v>2447</v>
      </c>
      <c r="F40" s="10" t="s">
        <v>251</v>
      </c>
      <c r="G40" t="s">
        <v>252</v>
      </c>
      <c r="H40" s="5">
        <v>17958763</v>
      </c>
      <c r="I40" s="5">
        <v>17958763</v>
      </c>
      <c r="J40" s="5">
        <v>17958763</v>
      </c>
    </row>
    <row r="41" spans="1:10" x14ac:dyDescent="0.3">
      <c r="A41" t="s">
        <v>26</v>
      </c>
      <c r="B41" t="str">
        <f t="shared" si="0"/>
        <v>2</v>
      </c>
      <c r="C41" t="str">
        <f t="shared" si="1"/>
        <v>24</v>
      </c>
      <c r="D41" t="str">
        <f t="shared" si="2"/>
        <v>244</v>
      </c>
      <c r="E41" t="str">
        <f t="shared" si="3"/>
        <v>2447</v>
      </c>
      <c r="F41" s="10" t="s">
        <v>253</v>
      </c>
      <c r="G41" t="s">
        <v>254</v>
      </c>
      <c r="H41" s="5">
        <v>657724</v>
      </c>
      <c r="I41" s="5">
        <v>657724</v>
      </c>
      <c r="J41" s="5">
        <v>657724</v>
      </c>
    </row>
    <row r="42" spans="1:10" x14ac:dyDescent="0.3">
      <c r="A42" t="s">
        <v>26</v>
      </c>
      <c r="B42" t="str">
        <f t="shared" si="0"/>
        <v>2</v>
      </c>
      <c r="C42" t="str">
        <f t="shared" si="1"/>
        <v>24</v>
      </c>
      <c r="D42" t="str">
        <f t="shared" si="2"/>
        <v>244</v>
      </c>
      <c r="E42" t="str">
        <f t="shared" si="3"/>
        <v>2447</v>
      </c>
      <c r="F42" s="10" t="s">
        <v>255</v>
      </c>
      <c r="G42" t="s">
        <v>256</v>
      </c>
      <c r="H42" s="5">
        <v>4300500</v>
      </c>
      <c r="I42" s="5">
        <v>4300500</v>
      </c>
      <c r="J42" s="5">
        <v>4300500</v>
      </c>
    </row>
    <row r="43" spans="1:10" x14ac:dyDescent="0.3">
      <c r="A43" t="s">
        <v>26</v>
      </c>
      <c r="B43" t="str">
        <f t="shared" si="0"/>
        <v>2</v>
      </c>
      <c r="C43" t="str">
        <f t="shared" si="1"/>
        <v>24</v>
      </c>
      <c r="D43" t="str">
        <f t="shared" si="2"/>
        <v>245</v>
      </c>
      <c r="E43" t="str">
        <f t="shared" si="3"/>
        <v>2451</v>
      </c>
      <c r="F43" s="10" t="s">
        <v>257</v>
      </c>
      <c r="G43" t="s">
        <v>258</v>
      </c>
      <c r="H43" s="5">
        <v>140912238</v>
      </c>
      <c r="I43" s="5">
        <v>-1798446</v>
      </c>
      <c r="J43" s="5">
        <v>0</v>
      </c>
    </row>
    <row r="44" spans="1:10" x14ac:dyDescent="0.3">
      <c r="A44" t="s">
        <v>26</v>
      </c>
      <c r="B44" t="str">
        <f t="shared" si="0"/>
        <v>2</v>
      </c>
      <c r="C44" t="str">
        <f t="shared" si="1"/>
        <v>24</v>
      </c>
      <c r="D44" t="str">
        <f t="shared" si="2"/>
        <v>245</v>
      </c>
      <c r="E44" t="str">
        <f t="shared" si="3"/>
        <v>2451</v>
      </c>
      <c r="F44" s="10" t="s">
        <v>259</v>
      </c>
      <c r="G44" t="s">
        <v>260</v>
      </c>
      <c r="H44" s="5">
        <v>390735843</v>
      </c>
      <c r="I44" s="5">
        <v>415291114</v>
      </c>
      <c r="J44" s="5">
        <v>440557514</v>
      </c>
    </row>
    <row r="45" spans="1:10" x14ac:dyDescent="0.3">
      <c r="A45" t="s">
        <v>26</v>
      </c>
      <c r="B45" t="str">
        <f t="shared" si="0"/>
        <v>2</v>
      </c>
      <c r="C45" t="str">
        <f t="shared" si="1"/>
        <v>24</v>
      </c>
      <c r="D45" t="str">
        <f t="shared" si="2"/>
        <v>245</v>
      </c>
      <c r="E45" t="str">
        <f t="shared" si="3"/>
        <v>2451</v>
      </c>
      <c r="F45" s="10" t="s">
        <v>261</v>
      </c>
      <c r="G45" t="s">
        <v>262</v>
      </c>
      <c r="H45" s="5">
        <v>357611803</v>
      </c>
      <c r="I45" s="5">
        <v>431645703</v>
      </c>
      <c r="J45" s="5">
        <v>498482848</v>
      </c>
    </row>
    <row r="46" spans="1:10" x14ac:dyDescent="0.3">
      <c r="A46" t="s">
        <v>26</v>
      </c>
      <c r="B46" t="str">
        <f t="shared" si="0"/>
        <v>2</v>
      </c>
      <c r="C46" t="str">
        <f t="shared" si="1"/>
        <v>24</v>
      </c>
      <c r="D46" t="str">
        <f t="shared" si="2"/>
        <v>245</v>
      </c>
      <c r="E46" t="str">
        <f t="shared" si="3"/>
        <v>2451</v>
      </c>
      <c r="F46" s="10" t="s">
        <v>263</v>
      </c>
      <c r="G46" t="s">
        <v>264</v>
      </c>
      <c r="H46" s="5">
        <v>36799966</v>
      </c>
      <c r="I46" s="5">
        <v>36799966</v>
      </c>
      <c r="J46" s="5">
        <v>36799966</v>
      </c>
    </row>
    <row r="47" spans="1:10" x14ac:dyDescent="0.3">
      <c r="A47" t="s">
        <v>26</v>
      </c>
      <c r="B47" t="str">
        <f t="shared" si="0"/>
        <v>2</v>
      </c>
      <c r="C47" t="str">
        <f t="shared" si="1"/>
        <v>24</v>
      </c>
      <c r="D47" t="str">
        <f t="shared" si="2"/>
        <v>245</v>
      </c>
      <c r="E47" t="str">
        <f t="shared" si="3"/>
        <v>2451</v>
      </c>
      <c r="F47" s="10" t="s">
        <v>265</v>
      </c>
      <c r="G47" t="s">
        <v>266</v>
      </c>
      <c r="H47" s="5">
        <v>37816102</v>
      </c>
      <c r="I47" s="5">
        <v>78850848</v>
      </c>
      <c r="J47" s="5">
        <v>80350848</v>
      </c>
    </row>
    <row r="48" spans="1:10" x14ac:dyDescent="0.3">
      <c r="A48" t="s">
        <v>26</v>
      </c>
      <c r="B48" t="str">
        <f t="shared" si="0"/>
        <v>2</v>
      </c>
      <c r="C48" t="str">
        <f t="shared" si="1"/>
        <v>24</v>
      </c>
      <c r="D48" t="str">
        <f t="shared" si="2"/>
        <v>245</v>
      </c>
      <c r="E48" t="str">
        <f t="shared" si="3"/>
        <v>2451</v>
      </c>
      <c r="F48" s="10" t="s">
        <v>267</v>
      </c>
      <c r="G48" t="s">
        <v>268</v>
      </c>
      <c r="H48" s="5">
        <v>272412552</v>
      </c>
      <c r="I48" s="5">
        <v>272412552</v>
      </c>
      <c r="J48" s="5">
        <v>272412552</v>
      </c>
    </row>
    <row r="49" spans="1:10" x14ac:dyDescent="0.3">
      <c r="A49" t="s">
        <v>26</v>
      </c>
      <c r="B49" t="str">
        <f t="shared" si="0"/>
        <v>2</v>
      </c>
      <c r="C49" t="str">
        <f t="shared" si="1"/>
        <v>24</v>
      </c>
      <c r="D49" t="str">
        <f t="shared" si="2"/>
        <v>245</v>
      </c>
      <c r="E49" t="str">
        <f t="shared" si="3"/>
        <v>2457</v>
      </c>
      <c r="F49" s="10" t="s">
        <v>269</v>
      </c>
      <c r="G49" t="s">
        <v>270</v>
      </c>
      <c r="H49" s="5">
        <v>40800000</v>
      </c>
      <c r="I49" s="5">
        <v>40800000</v>
      </c>
      <c r="J49" s="5">
        <v>40800000</v>
      </c>
    </row>
    <row r="50" spans="1:10" x14ac:dyDescent="0.3">
      <c r="A50" t="s">
        <v>26</v>
      </c>
      <c r="B50" t="str">
        <f t="shared" si="0"/>
        <v>2</v>
      </c>
      <c r="C50" t="str">
        <f t="shared" si="1"/>
        <v>24</v>
      </c>
      <c r="D50" t="str">
        <f t="shared" si="2"/>
        <v>245</v>
      </c>
      <c r="E50" t="str">
        <f t="shared" si="3"/>
        <v>2458</v>
      </c>
      <c r="F50" s="10" t="s">
        <v>271</v>
      </c>
      <c r="G50" t="s">
        <v>272</v>
      </c>
      <c r="H50" s="5">
        <v>24215323</v>
      </c>
      <c r="I50" s="5">
        <v>24215323</v>
      </c>
      <c r="J50" s="5">
        <v>24215323</v>
      </c>
    </row>
    <row r="51" spans="1:10" x14ac:dyDescent="0.3">
      <c r="A51" t="s">
        <v>26</v>
      </c>
      <c r="B51" t="str">
        <f t="shared" si="0"/>
        <v>2</v>
      </c>
      <c r="C51" t="str">
        <f t="shared" si="1"/>
        <v>24</v>
      </c>
      <c r="D51" t="str">
        <f t="shared" si="2"/>
        <v>245</v>
      </c>
      <c r="E51" t="str">
        <f t="shared" si="3"/>
        <v>2458</v>
      </c>
      <c r="F51" s="10" t="s">
        <v>273</v>
      </c>
      <c r="G51" t="s">
        <v>274</v>
      </c>
      <c r="H51" s="5">
        <v>1028220</v>
      </c>
      <c r="I51" s="5">
        <v>1028220</v>
      </c>
      <c r="J51" s="5">
        <v>1028220</v>
      </c>
    </row>
    <row r="52" spans="1:10" x14ac:dyDescent="0.3">
      <c r="A52" t="s">
        <v>26</v>
      </c>
      <c r="B52" t="str">
        <f t="shared" si="0"/>
        <v>2</v>
      </c>
      <c r="C52" t="str">
        <f t="shared" si="1"/>
        <v>24</v>
      </c>
      <c r="D52" t="str">
        <f t="shared" si="2"/>
        <v>245</v>
      </c>
      <c r="E52" t="str">
        <f t="shared" si="3"/>
        <v>2458</v>
      </c>
      <c r="F52" s="10" t="s">
        <v>275</v>
      </c>
      <c r="G52" t="s">
        <v>276</v>
      </c>
      <c r="H52" s="5">
        <v>34465767</v>
      </c>
      <c r="I52" s="5">
        <v>36147970</v>
      </c>
      <c r="J52" s="5">
        <v>39114080</v>
      </c>
    </row>
    <row r="53" spans="1:10" x14ac:dyDescent="0.3">
      <c r="A53" t="s">
        <v>26</v>
      </c>
      <c r="B53" t="str">
        <f t="shared" si="0"/>
        <v>2</v>
      </c>
      <c r="C53" t="str">
        <f t="shared" si="1"/>
        <v>24</v>
      </c>
      <c r="D53" t="str">
        <f t="shared" si="2"/>
        <v>245</v>
      </c>
      <c r="E53" t="str">
        <f t="shared" si="3"/>
        <v>2458</v>
      </c>
      <c r="F53" s="10" t="s">
        <v>277</v>
      </c>
      <c r="G53" t="s">
        <v>278</v>
      </c>
      <c r="H53" s="5">
        <v>36441</v>
      </c>
      <c r="I53" s="5">
        <v>36441</v>
      </c>
      <c r="J53" s="5">
        <v>36441</v>
      </c>
    </row>
    <row r="54" spans="1:10" x14ac:dyDescent="0.3">
      <c r="A54" t="s">
        <v>26</v>
      </c>
      <c r="B54" t="str">
        <f t="shared" si="0"/>
        <v>2</v>
      </c>
      <c r="C54" t="str">
        <f t="shared" si="1"/>
        <v>24</v>
      </c>
      <c r="D54" t="str">
        <f t="shared" si="2"/>
        <v>246</v>
      </c>
      <c r="E54" t="str">
        <f t="shared" si="3"/>
        <v>2465</v>
      </c>
      <c r="F54" s="10" t="s">
        <v>279</v>
      </c>
      <c r="G54" t="s">
        <v>280</v>
      </c>
      <c r="H54" s="5">
        <v>1998918084</v>
      </c>
      <c r="I54" s="5">
        <v>1998918084</v>
      </c>
      <c r="J54" s="5">
        <v>2908056642</v>
      </c>
    </row>
    <row r="55" spans="1:10" x14ac:dyDescent="0.3">
      <c r="A55" t="s">
        <v>26</v>
      </c>
      <c r="B55" t="str">
        <f t="shared" si="0"/>
        <v>2</v>
      </c>
      <c r="C55" t="str">
        <f t="shared" si="1"/>
        <v>24</v>
      </c>
      <c r="D55" t="str">
        <f t="shared" si="2"/>
        <v>249</v>
      </c>
      <c r="E55" t="str">
        <f t="shared" si="3"/>
        <v>2491</v>
      </c>
      <c r="F55" s="10" t="s">
        <v>281</v>
      </c>
      <c r="G55" t="s">
        <v>282</v>
      </c>
      <c r="H55" s="5">
        <v>2202588845</v>
      </c>
      <c r="I55" s="5">
        <v>2202588845</v>
      </c>
      <c r="J55" s="5">
        <v>2202588845</v>
      </c>
    </row>
    <row r="56" spans="1:10" x14ac:dyDescent="0.3">
      <c r="A56" t="s">
        <v>26</v>
      </c>
      <c r="B56" t="str">
        <f t="shared" si="0"/>
        <v>2</v>
      </c>
      <c r="C56" t="str">
        <f t="shared" si="1"/>
        <v>24</v>
      </c>
      <c r="D56" t="str">
        <f t="shared" si="2"/>
        <v>249</v>
      </c>
      <c r="E56" t="str">
        <f t="shared" si="3"/>
        <v>2495</v>
      </c>
      <c r="F56" s="10" t="s">
        <v>283</v>
      </c>
      <c r="G56" t="s">
        <v>284</v>
      </c>
      <c r="H56" s="5">
        <v>2488807</v>
      </c>
      <c r="I56" s="5">
        <v>2488807</v>
      </c>
      <c r="J56" s="5">
        <v>2488807</v>
      </c>
    </row>
    <row r="57" spans="1:10" x14ac:dyDescent="0.3">
      <c r="A57" t="s">
        <v>26</v>
      </c>
      <c r="B57" t="str">
        <f t="shared" si="0"/>
        <v>2</v>
      </c>
      <c r="C57" t="str">
        <f t="shared" si="1"/>
        <v>24</v>
      </c>
      <c r="D57" t="str">
        <f t="shared" si="2"/>
        <v>249</v>
      </c>
      <c r="E57" t="str">
        <f t="shared" si="3"/>
        <v>2496</v>
      </c>
      <c r="F57" s="10" t="s">
        <v>285</v>
      </c>
      <c r="G57" t="s">
        <v>286</v>
      </c>
      <c r="H57" s="5">
        <v>2754495128</v>
      </c>
      <c r="I57" s="5">
        <v>2754495128</v>
      </c>
      <c r="J57" s="5">
        <v>2754495128</v>
      </c>
    </row>
    <row r="58" spans="1:10" x14ac:dyDescent="0.3">
      <c r="A58" t="s">
        <v>26</v>
      </c>
      <c r="B58" t="str">
        <f t="shared" si="0"/>
        <v>2</v>
      </c>
      <c r="C58" t="str">
        <f t="shared" si="1"/>
        <v>24</v>
      </c>
      <c r="D58" t="str">
        <f t="shared" si="2"/>
        <v>249</v>
      </c>
      <c r="E58" t="str">
        <f t="shared" si="3"/>
        <v>2498</v>
      </c>
      <c r="F58" s="10" t="s">
        <v>287</v>
      </c>
      <c r="G58" t="s">
        <v>288</v>
      </c>
      <c r="H58" s="5">
        <v>525500</v>
      </c>
      <c r="I58" s="5">
        <v>525500</v>
      </c>
      <c r="J58" s="5">
        <v>525500</v>
      </c>
    </row>
    <row r="59" spans="1:10" x14ac:dyDescent="0.3">
      <c r="A59" t="s">
        <v>26</v>
      </c>
      <c r="B59" t="str">
        <f t="shared" si="0"/>
        <v>2</v>
      </c>
      <c r="C59" t="str">
        <f t="shared" si="1"/>
        <v>24</v>
      </c>
      <c r="D59" t="str">
        <f t="shared" si="2"/>
        <v>249</v>
      </c>
      <c r="E59" t="str">
        <f t="shared" si="3"/>
        <v>2499</v>
      </c>
      <c r="F59" s="10" t="s">
        <v>289</v>
      </c>
      <c r="G59" t="s">
        <v>290</v>
      </c>
      <c r="H59" s="5">
        <v>1186260</v>
      </c>
      <c r="I59" s="5">
        <v>1186260</v>
      </c>
      <c r="J59" s="5">
        <v>1186260</v>
      </c>
    </row>
    <row r="60" spans="1:10" x14ac:dyDescent="0.3">
      <c r="A60" t="s">
        <v>26</v>
      </c>
      <c r="B60" t="str">
        <f t="shared" si="0"/>
        <v>2</v>
      </c>
      <c r="C60" t="str">
        <f t="shared" si="1"/>
        <v>25</v>
      </c>
      <c r="D60" t="str">
        <f t="shared" si="2"/>
        <v>252</v>
      </c>
      <c r="E60" t="str">
        <f t="shared" si="3"/>
        <v>2520</v>
      </c>
      <c r="F60" s="10" t="s">
        <v>291</v>
      </c>
      <c r="G60" t="s">
        <v>292</v>
      </c>
      <c r="H60" s="5">
        <v>14296185</v>
      </c>
      <c r="I60" s="5">
        <v>14296185</v>
      </c>
      <c r="J60" s="5">
        <v>64296185</v>
      </c>
    </row>
    <row r="61" spans="1:10" x14ac:dyDescent="0.3">
      <c r="A61" t="s">
        <v>26</v>
      </c>
      <c r="B61" t="str">
        <f t="shared" si="0"/>
        <v>2</v>
      </c>
      <c r="C61" t="str">
        <f t="shared" si="1"/>
        <v>25</v>
      </c>
      <c r="D61" t="str">
        <f t="shared" si="2"/>
        <v>252</v>
      </c>
      <c r="E61" t="str">
        <f t="shared" si="3"/>
        <v>2521</v>
      </c>
      <c r="F61" s="10" t="s">
        <v>293</v>
      </c>
      <c r="G61" t="s">
        <v>294</v>
      </c>
      <c r="H61" s="5">
        <v>0</v>
      </c>
      <c r="I61" s="5">
        <v>0</v>
      </c>
      <c r="J61" s="5">
        <v>0</v>
      </c>
    </row>
    <row r="62" spans="1:10" x14ac:dyDescent="0.3">
      <c r="A62" t="s">
        <v>31</v>
      </c>
      <c r="B62" t="str">
        <f t="shared" si="0"/>
        <v>2</v>
      </c>
      <c r="C62" t="str">
        <f t="shared" si="1"/>
        <v>27</v>
      </c>
      <c r="D62" t="str">
        <f t="shared" si="2"/>
        <v>275</v>
      </c>
      <c r="E62" t="str">
        <f t="shared" si="3"/>
        <v>2751</v>
      </c>
      <c r="F62" s="10" t="s">
        <v>295</v>
      </c>
      <c r="G62" t="s">
        <v>296</v>
      </c>
      <c r="H62" s="5">
        <v>12787000</v>
      </c>
      <c r="I62" s="5">
        <v>12787000</v>
      </c>
      <c r="J62" s="5">
        <v>16487000</v>
      </c>
    </row>
    <row r="63" spans="1:10" x14ac:dyDescent="0.3">
      <c r="A63" t="s">
        <v>31</v>
      </c>
      <c r="B63" t="str">
        <f t="shared" si="0"/>
        <v>2</v>
      </c>
      <c r="C63" t="str">
        <f t="shared" si="1"/>
        <v>27</v>
      </c>
      <c r="D63" t="str">
        <f t="shared" si="2"/>
        <v>275</v>
      </c>
      <c r="E63" t="str">
        <f t="shared" si="3"/>
        <v>2752</v>
      </c>
      <c r="F63" s="10" t="s">
        <v>297</v>
      </c>
      <c r="G63" t="s">
        <v>298</v>
      </c>
      <c r="H63" s="5">
        <v>176136</v>
      </c>
      <c r="I63" s="5">
        <v>176136</v>
      </c>
      <c r="J63" s="5">
        <v>176136</v>
      </c>
    </row>
    <row r="64" spans="1:10" x14ac:dyDescent="0.3">
      <c r="A64" t="s">
        <v>31</v>
      </c>
      <c r="B64" t="str">
        <f t="shared" si="0"/>
        <v>2</v>
      </c>
      <c r="C64" t="str">
        <f t="shared" si="1"/>
        <v>27</v>
      </c>
      <c r="D64" t="str">
        <f t="shared" si="2"/>
        <v>275</v>
      </c>
      <c r="E64" t="str">
        <f t="shared" si="3"/>
        <v>2752</v>
      </c>
      <c r="F64" s="10" t="s">
        <v>299</v>
      </c>
      <c r="G64" t="s">
        <v>300</v>
      </c>
      <c r="H64" s="5">
        <v>12448761</v>
      </c>
      <c r="I64" s="5">
        <v>12448761</v>
      </c>
      <c r="J64" s="5">
        <v>12448761</v>
      </c>
    </row>
    <row r="65" spans="1:10" x14ac:dyDescent="0.3">
      <c r="A65" t="s">
        <v>31</v>
      </c>
      <c r="B65" t="str">
        <f t="shared" si="0"/>
        <v>2</v>
      </c>
      <c r="C65" t="str">
        <f t="shared" si="1"/>
        <v>27</v>
      </c>
      <c r="D65" t="str">
        <f t="shared" si="2"/>
        <v>275</v>
      </c>
      <c r="E65" t="str">
        <f t="shared" si="3"/>
        <v>2758</v>
      </c>
      <c r="F65" s="10" t="s">
        <v>301</v>
      </c>
      <c r="G65" t="s">
        <v>302</v>
      </c>
      <c r="H65" s="5">
        <v>13272500</v>
      </c>
      <c r="I65" s="5">
        <v>13272500</v>
      </c>
      <c r="J65" s="5">
        <v>13272500</v>
      </c>
    </row>
    <row r="66" spans="1:10" x14ac:dyDescent="0.3">
      <c r="A66" t="s">
        <v>23</v>
      </c>
      <c r="B66" t="str">
        <f t="shared" ref="B66:B129" si="4">LEFT($F66,1)</f>
        <v>2</v>
      </c>
      <c r="C66" t="str">
        <f t="shared" ref="C66:C129" si="5">LEFT($F66,2)</f>
        <v>28</v>
      </c>
      <c r="D66" t="str">
        <f t="shared" ref="D66:D129" si="6">LEFT($F66,3)</f>
        <v>281</v>
      </c>
      <c r="E66" t="str">
        <f t="shared" ref="E66:E129" si="7">LEFT($F66,4)</f>
        <v>2811</v>
      </c>
      <c r="F66" s="10" t="s">
        <v>303</v>
      </c>
      <c r="G66" t="s">
        <v>304</v>
      </c>
      <c r="H66" s="5">
        <v>-48058621</v>
      </c>
      <c r="I66" s="5">
        <v>-48058621</v>
      </c>
      <c r="J66" s="5">
        <v>0</v>
      </c>
    </row>
    <row r="67" spans="1:10" x14ac:dyDescent="0.3">
      <c r="A67" t="s">
        <v>23</v>
      </c>
      <c r="B67" t="str">
        <f t="shared" si="4"/>
        <v>2</v>
      </c>
      <c r="C67" t="str">
        <f t="shared" si="5"/>
        <v>28</v>
      </c>
      <c r="D67" t="str">
        <f t="shared" si="6"/>
        <v>281</v>
      </c>
      <c r="E67" t="str">
        <f t="shared" si="7"/>
        <v>2813</v>
      </c>
      <c r="F67" s="10" t="s">
        <v>305</v>
      </c>
      <c r="G67" t="s">
        <v>306</v>
      </c>
      <c r="H67" s="5">
        <v>-75240836</v>
      </c>
      <c r="I67" s="5">
        <v>-84706796</v>
      </c>
      <c r="J67" s="5">
        <v>-93054455</v>
      </c>
    </row>
    <row r="68" spans="1:10" x14ac:dyDescent="0.3">
      <c r="A68" t="s">
        <v>23</v>
      </c>
      <c r="B68" t="str">
        <f t="shared" si="4"/>
        <v>2</v>
      </c>
      <c r="C68" t="str">
        <f t="shared" si="5"/>
        <v>28</v>
      </c>
      <c r="D68" t="str">
        <f t="shared" si="6"/>
        <v>281</v>
      </c>
      <c r="E68" t="str">
        <f t="shared" si="7"/>
        <v>2818</v>
      </c>
      <c r="F68" s="10" t="s">
        <v>307</v>
      </c>
      <c r="G68" t="s">
        <v>308</v>
      </c>
      <c r="H68" s="5">
        <v>-19151536</v>
      </c>
      <c r="I68" s="5">
        <v>-19151536</v>
      </c>
      <c r="J68" s="5">
        <v>0</v>
      </c>
    </row>
    <row r="69" spans="1:10" x14ac:dyDescent="0.3">
      <c r="A69" t="s">
        <v>26</v>
      </c>
      <c r="B69" t="str">
        <f t="shared" si="4"/>
        <v>2</v>
      </c>
      <c r="C69" t="str">
        <f t="shared" si="5"/>
        <v>28</v>
      </c>
      <c r="D69" t="str">
        <f t="shared" si="6"/>
        <v>283</v>
      </c>
      <c r="E69" t="str">
        <f t="shared" si="7"/>
        <v>2838</v>
      </c>
      <c r="F69" s="10" t="s">
        <v>309</v>
      </c>
      <c r="G69" t="s">
        <v>310</v>
      </c>
      <c r="H69" s="5">
        <v>-23904324</v>
      </c>
      <c r="I69" s="5">
        <v>-29441555</v>
      </c>
      <c r="J69" s="5">
        <v>-35187047</v>
      </c>
    </row>
    <row r="70" spans="1:10" x14ac:dyDescent="0.3">
      <c r="A70" t="s">
        <v>26</v>
      </c>
      <c r="B70" t="str">
        <f t="shared" si="4"/>
        <v>2</v>
      </c>
      <c r="C70" t="str">
        <f t="shared" si="5"/>
        <v>28</v>
      </c>
      <c r="D70" t="str">
        <f t="shared" si="6"/>
        <v>284</v>
      </c>
      <c r="E70" t="str">
        <f t="shared" si="7"/>
        <v>2842</v>
      </c>
      <c r="F70" s="10" t="s">
        <v>311</v>
      </c>
      <c r="G70" t="s">
        <v>312</v>
      </c>
      <c r="H70" s="5">
        <v>-3746207766</v>
      </c>
      <c r="I70" s="5">
        <v>-4241512738</v>
      </c>
      <c r="J70" s="5">
        <v>-4817485511</v>
      </c>
    </row>
    <row r="71" spans="1:10" x14ac:dyDescent="0.3">
      <c r="A71" t="s">
        <v>26</v>
      </c>
      <c r="B71" t="str">
        <f t="shared" si="4"/>
        <v>2</v>
      </c>
      <c r="C71" t="str">
        <f t="shared" si="5"/>
        <v>28</v>
      </c>
      <c r="D71" t="str">
        <f t="shared" si="6"/>
        <v>284</v>
      </c>
      <c r="E71" t="str">
        <f t="shared" si="7"/>
        <v>2844</v>
      </c>
      <c r="F71" s="10" t="s">
        <v>313</v>
      </c>
      <c r="G71" t="s">
        <v>314</v>
      </c>
      <c r="H71" s="5">
        <v>-133971236</v>
      </c>
      <c r="I71" s="5">
        <v>-141573220</v>
      </c>
      <c r="J71" s="5">
        <v>-147662383</v>
      </c>
    </row>
    <row r="72" spans="1:10" x14ac:dyDescent="0.3">
      <c r="A72" t="s">
        <v>26</v>
      </c>
      <c r="B72" t="str">
        <f t="shared" si="4"/>
        <v>2</v>
      </c>
      <c r="C72" t="str">
        <f t="shared" si="5"/>
        <v>28</v>
      </c>
      <c r="D72" t="str">
        <f t="shared" si="6"/>
        <v>284</v>
      </c>
      <c r="E72" t="str">
        <f t="shared" si="7"/>
        <v>2845</v>
      </c>
      <c r="F72" s="10" t="s">
        <v>315</v>
      </c>
      <c r="G72" t="s">
        <v>316</v>
      </c>
      <c r="H72" s="5">
        <v>-406650863</v>
      </c>
      <c r="I72" s="5">
        <v>-293720447</v>
      </c>
      <c r="J72" s="5">
        <v>-268755884</v>
      </c>
    </row>
    <row r="73" spans="1:10" x14ac:dyDescent="0.3">
      <c r="A73" t="s">
        <v>26</v>
      </c>
      <c r="B73" t="str">
        <f t="shared" si="4"/>
        <v>2</v>
      </c>
      <c r="C73" t="str">
        <f t="shared" si="5"/>
        <v>28</v>
      </c>
      <c r="D73" t="str">
        <f t="shared" si="6"/>
        <v>284</v>
      </c>
      <c r="E73" t="str">
        <f t="shared" si="7"/>
        <v>2845</v>
      </c>
      <c r="F73" s="10" t="s">
        <v>317</v>
      </c>
      <c r="G73" t="s">
        <v>318</v>
      </c>
      <c r="H73" s="5">
        <v>-79605824</v>
      </c>
      <c r="I73" s="5">
        <v>-151653127</v>
      </c>
      <c r="J73" s="5">
        <v>-224746042</v>
      </c>
    </row>
    <row r="74" spans="1:10" x14ac:dyDescent="0.3">
      <c r="A74" t="s">
        <v>26</v>
      </c>
      <c r="B74" t="str">
        <f t="shared" si="4"/>
        <v>2</v>
      </c>
      <c r="C74" t="str">
        <f t="shared" si="5"/>
        <v>28</v>
      </c>
      <c r="D74" t="str">
        <f t="shared" si="6"/>
        <v>284</v>
      </c>
      <c r="E74" t="str">
        <f t="shared" si="7"/>
        <v>2845</v>
      </c>
      <c r="F74" s="10" t="s">
        <v>319</v>
      </c>
      <c r="G74" t="s">
        <v>320</v>
      </c>
      <c r="H74" s="5">
        <v>-138133366</v>
      </c>
      <c r="I74" s="5">
        <v>-213074533</v>
      </c>
      <c r="J74" s="5">
        <v>-296077489</v>
      </c>
    </row>
    <row r="75" spans="1:10" x14ac:dyDescent="0.3">
      <c r="A75" t="s">
        <v>26</v>
      </c>
      <c r="B75" t="str">
        <f t="shared" si="4"/>
        <v>2</v>
      </c>
      <c r="C75" t="str">
        <f t="shared" si="5"/>
        <v>28</v>
      </c>
      <c r="D75" t="str">
        <f t="shared" si="6"/>
        <v>284</v>
      </c>
      <c r="E75" t="str">
        <f t="shared" si="7"/>
        <v>2845</v>
      </c>
      <c r="F75" s="10" t="s">
        <v>321</v>
      </c>
      <c r="G75" t="s">
        <v>322</v>
      </c>
      <c r="H75" s="5">
        <v>-16021124</v>
      </c>
      <c r="I75" s="5">
        <v>-21541124</v>
      </c>
      <c r="J75" s="5">
        <v>-27061124</v>
      </c>
    </row>
    <row r="76" spans="1:10" x14ac:dyDescent="0.3">
      <c r="A76" t="s">
        <v>26</v>
      </c>
      <c r="B76" t="str">
        <f t="shared" si="4"/>
        <v>2</v>
      </c>
      <c r="C76" t="str">
        <f t="shared" si="5"/>
        <v>28</v>
      </c>
      <c r="D76" t="str">
        <f t="shared" si="6"/>
        <v>284</v>
      </c>
      <c r="E76" t="str">
        <f t="shared" si="7"/>
        <v>2845</v>
      </c>
      <c r="F76" s="10" t="s">
        <v>323</v>
      </c>
      <c r="G76" t="s">
        <v>324</v>
      </c>
      <c r="H76" s="5">
        <v>-17527607</v>
      </c>
      <c r="I76" s="5">
        <v>-26948673</v>
      </c>
      <c r="J76" s="5">
        <v>-44961771</v>
      </c>
    </row>
    <row r="77" spans="1:10" x14ac:dyDescent="0.3">
      <c r="A77" t="s">
        <v>26</v>
      </c>
      <c r="B77" t="str">
        <f t="shared" si="4"/>
        <v>2</v>
      </c>
      <c r="C77" t="str">
        <f t="shared" si="5"/>
        <v>28</v>
      </c>
      <c r="D77" t="str">
        <f t="shared" si="6"/>
        <v>284</v>
      </c>
      <c r="E77" t="str">
        <f t="shared" si="7"/>
        <v>2846</v>
      </c>
      <c r="F77" s="10" t="s">
        <v>325</v>
      </c>
      <c r="G77" t="s">
        <v>326</v>
      </c>
      <c r="H77" s="5">
        <v>-1086637630</v>
      </c>
      <c r="I77" s="5">
        <v>-1293840430</v>
      </c>
      <c r="J77" s="5">
        <v>-1593647536</v>
      </c>
    </row>
    <row r="78" spans="1:10" x14ac:dyDescent="0.3">
      <c r="A78" t="s">
        <v>47</v>
      </c>
      <c r="B78" t="str">
        <f t="shared" si="4"/>
        <v>3</v>
      </c>
      <c r="C78" t="str">
        <f t="shared" si="5"/>
        <v>32</v>
      </c>
      <c r="D78" t="str">
        <f t="shared" si="6"/>
        <v>321</v>
      </c>
      <c r="E78" t="str">
        <f t="shared" si="7"/>
        <v>3211</v>
      </c>
      <c r="F78" s="10" t="s">
        <v>327</v>
      </c>
      <c r="G78" t="s">
        <v>328</v>
      </c>
      <c r="H78" s="5">
        <v>218193024</v>
      </c>
      <c r="I78" s="5">
        <v>43474811</v>
      </c>
      <c r="J78" s="5">
        <v>23145995</v>
      </c>
    </row>
    <row r="79" spans="1:10" x14ac:dyDescent="0.3">
      <c r="A79" t="s">
        <v>47</v>
      </c>
      <c r="B79" t="str">
        <f t="shared" si="4"/>
        <v>3</v>
      </c>
      <c r="C79" t="str">
        <f t="shared" si="5"/>
        <v>33</v>
      </c>
      <c r="D79" t="str">
        <f t="shared" si="6"/>
        <v>331</v>
      </c>
      <c r="E79" t="str">
        <f t="shared" si="7"/>
        <v>3310</v>
      </c>
      <c r="F79" s="10" t="s">
        <v>329</v>
      </c>
      <c r="G79" t="s">
        <v>330</v>
      </c>
      <c r="H79" s="5">
        <v>23200876</v>
      </c>
      <c r="I79" s="5">
        <v>24255644</v>
      </c>
      <c r="J79" s="5">
        <v>34926741</v>
      </c>
    </row>
    <row r="80" spans="1:10" x14ac:dyDescent="0.3">
      <c r="A80" t="s">
        <v>47</v>
      </c>
      <c r="B80" t="str">
        <f t="shared" si="4"/>
        <v>3</v>
      </c>
      <c r="C80" t="str">
        <f t="shared" si="5"/>
        <v>33</v>
      </c>
      <c r="D80" t="str">
        <f t="shared" si="6"/>
        <v>331</v>
      </c>
      <c r="E80" t="str">
        <f t="shared" si="7"/>
        <v>3313</v>
      </c>
      <c r="F80" s="10" t="s">
        <v>331</v>
      </c>
      <c r="G80" t="s">
        <v>332</v>
      </c>
      <c r="H80" s="5">
        <v>1495760</v>
      </c>
      <c r="I80" s="5">
        <v>4008628</v>
      </c>
      <c r="J80" s="5">
        <v>30338174</v>
      </c>
    </row>
    <row r="81" spans="1:10" x14ac:dyDescent="0.3">
      <c r="A81" t="s">
        <v>47</v>
      </c>
      <c r="B81" t="str">
        <f t="shared" si="4"/>
        <v>3</v>
      </c>
      <c r="C81" t="str">
        <f t="shared" si="5"/>
        <v>33</v>
      </c>
      <c r="D81" t="str">
        <f t="shared" si="6"/>
        <v>331</v>
      </c>
      <c r="E81" t="str">
        <f t="shared" si="7"/>
        <v>3314</v>
      </c>
      <c r="F81" s="10" t="s">
        <v>333</v>
      </c>
      <c r="G81" t="s">
        <v>334</v>
      </c>
      <c r="H81" s="5">
        <v>15244234</v>
      </c>
      <c r="I81" s="5">
        <v>5612090</v>
      </c>
      <c r="J81" s="5">
        <v>28025479</v>
      </c>
    </row>
    <row r="82" spans="1:10" x14ac:dyDescent="0.3">
      <c r="A82" t="s">
        <v>47</v>
      </c>
      <c r="B82" t="str">
        <f t="shared" si="4"/>
        <v>3</v>
      </c>
      <c r="C82" t="str">
        <f t="shared" si="5"/>
        <v>33</v>
      </c>
      <c r="D82" t="str">
        <f t="shared" si="6"/>
        <v>331</v>
      </c>
      <c r="E82" t="str">
        <f t="shared" si="7"/>
        <v>3315</v>
      </c>
      <c r="F82" s="10" t="s">
        <v>335</v>
      </c>
      <c r="G82" t="s">
        <v>336</v>
      </c>
      <c r="H82" s="5">
        <v>4990027</v>
      </c>
      <c r="I82" s="5">
        <v>3296600</v>
      </c>
      <c r="J82" s="5">
        <v>4632925</v>
      </c>
    </row>
    <row r="83" spans="1:10" x14ac:dyDescent="0.3">
      <c r="A83" t="s">
        <v>47</v>
      </c>
      <c r="B83" t="str">
        <f t="shared" si="4"/>
        <v>3</v>
      </c>
      <c r="C83" t="str">
        <f t="shared" si="5"/>
        <v>33</v>
      </c>
      <c r="D83" t="str">
        <f t="shared" si="6"/>
        <v>331</v>
      </c>
      <c r="E83" t="str">
        <f t="shared" si="7"/>
        <v>3316</v>
      </c>
      <c r="F83" s="10" t="s">
        <v>337</v>
      </c>
      <c r="G83" t="s">
        <v>338</v>
      </c>
      <c r="H83" s="5">
        <v>27575985</v>
      </c>
      <c r="I83" s="5">
        <v>15892265</v>
      </c>
      <c r="J83" s="5">
        <v>16256240</v>
      </c>
    </row>
    <row r="84" spans="1:10" x14ac:dyDescent="0.3">
      <c r="A84" t="s">
        <v>47</v>
      </c>
      <c r="B84" t="str">
        <f t="shared" si="4"/>
        <v>3</v>
      </c>
      <c r="C84" t="str">
        <f t="shared" si="5"/>
        <v>33</v>
      </c>
      <c r="D84" t="str">
        <f t="shared" si="6"/>
        <v>332</v>
      </c>
      <c r="E84" t="str">
        <f t="shared" si="7"/>
        <v>3320</v>
      </c>
      <c r="F84" s="10" t="s">
        <v>339</v>
      </c>
      <c r="G84" t="s">
        <v>340</v>
      </c>
      <c r="H84" s="5">
        <v>440585460</v>
      </c>
      <c r="I84" s="5">
        <v>580227762</v>
      </c>
      <c r="J84" s="5">
        <v>766039638</v>
      </c>
    </row>
    <row r="85" spans="1:10" x14ac:dyDescent="0.3">
      <c r="A85" t="s">
        <v>47</v>
      </c>
      <c r="B85" t="str">
        <f t="shared" si="4"/>
        <v>3</v>
      </c>
      <c r="C85" t="str">
        <f t="shared" si="5"/>
        <v>33</v>
      </c>
      <c r="D85" t="str">
        <f t="shared" si="6"/>
        <v>332</v>
      </c>
      <c r="E85" t="str">
        <f t="shared" si="7"/>
        <v>3322</v>
      </c>
      <c r="F85" s="10" t="s">
        <v>341</v>
      </c>
      <c r="G85" t="s">
        <v>342</v>
      </c>
      <c r="H85" s="5">
        <v>14038937</v>
      </c>
      <c r="I85" s="5">
        <v>7971133</v>
      </c>
      <c r="J85" s="5">
        <v>15350498</v>
      </c>
    </row>
    <row r="86" spans="1:10" x14ac:dyDescent="0.3">
      <c r="A86" t="s">
        <v>47</v>
      </c>
      <c r="B86" t="str">
        <f t="shared" si="4"/>
        <v>3</v>
      </c>
      <c r="C86" t="str">
        <f t="shared" si="5"/>
        <v>36</v>
      </c>
      <c r="D86" t="str">
        <f t="shared" si="6"/>
        <v>361</v>
      </c>
      <c r="E86" t="str">
        <f t="shared" si="7"/>
        <v>3611</v>
      </c>
      <c r="F86" s="10" t="s">
        <v>343</v>
      </c>
      <c r="G86" t="s">
        <v>344</v>
      </c>
      <c r="H86" s="5">
        <v>338425601</v>
      </c>
      <c r="I86" s="5">
        <v>170674431</v>
      </c>
      <c r="J86" s="5">
        <v>163935187</v>
      </c>
    </row>
    <row r="87" spans="1:10" x14ac:dyDescent="0.3">
      <c r="A87" t="s">
        <v>47</v>
      </c>
      <c r="B87" t="str">
        <f t="shared" si="4"/>
        <v>3</v>
      </c>
      <c r="C87" t="str">
        <f t="shared" si="5"/>
        <v>36</v>
      </c>
      <c r="D87" t="str">
        <f t="shared" si="6"/>
        <v>361</v>
      </c>
      <c r="E87" t="str">
        <f t="shared" si="7"/>
        <v>3612</v>
      </c>
      <c r="F87" s="10" t="s">
        <v>345</v>
      </c>
      <c r="G87" t="s">
        <v>346</v>
      </c>
      <c r="H87" s="5">
        <v>5915065</v>
      </c>
      <c r="I87" s="5">
        <v>3444762</v>
      </c>
      <c r="J87" s="5">
        <v>2863030</v>
      </c>
    </row>
    <row r="88" spans="1:10" x14ac:dyDescent="0.3">
      <c r="A88" t="s">
        <v>47</v>
      </c>
      <c r="B88" t="str">
        <f t="shared" si="4"/>
        <v>3</v>
      </c>
      <c r="C88" t="str">
        <f t="shared" si="5"/>
        <v>37</v>
      </c>
      <c r="D88" t="str">
        <f t="shared" si="6"/>
        <v>371</v>
      </c>
      <c r="E88" t="str">
        <f t="shared" si="7"/>
        <v>3711</v>
      </c>
      <c r="F88" s="10" t="s">
        <v>347</v>
      </c>
      <c r="G88" t="s">
        <v>348</v>
      </c>
      <c r="H88" s="5">
        <v>122144500</v>
      </c>
      <c r="I88" s="5">
        <v>157577900</v>
      </c>
      <c r="J88" s="5">
        <v>37409775</v>
      </c>
    </row>
    <row r="89" spans="1:10" x14ac:dyDescent="0.3">
      <c r="A89" t="s">
        <v>47</v>
      </c>
      <c r="B89" t="str">
        <f t="shared" si="4"/>
        <v>3</v>
      </c>
      <c r="C89" t="str">
        <f t="shared" si="5"/>
        <v>37</v>
      </c>
      <c r="D89" t="str">
        <f t="shared" si="6"/>
        <v>372</v>
      </c>
      <c r="E89" t="str">
        <f t="shared" si="7"/>
        <v>3721</v>
      </c>
      <c r="F89" s="10" t="s">
        <v>349</v>
      </c>
      <c r="G89" t="s">
        <v>350</v>
      </c>
      <c r="H89" s="5">
        <v>7753368</v>
      </c>
      <c r="I89" s="5">
        <v>1014190</v>
      </c>
      <c r="J89" s="5">
        <v>819498</v>
      </c>
    </row>
    <row r="90" spans="1:10" x14ac:dyDescent="0.3">
      <c r="A90" t="s">
        <v>49</v>
      </c>
      <c r="B90" t="str">
        <f t="shared" si="4"/>
        <v>4</v>
      </c>
      <c r="C90" t="str">
        <f t="shared" si="5"/>
        <v>40</v>
      </c>
      <c r="D90" t="str">
        <f t="shared" si="6"/>
        <v>401</v>
      </c>
      <c r="E90" t="str">
        <f t="shared" si="7"/>
        <v>4011</v>
      </c>
      <c r="F90" s="10" t="s">
        <v>351</v>
      </c>
      <c r="G90" t="s">
        <v>352</v>
      </c>
      <c r="H90" s="5">
        <v>-205072471</v>
      </c>
      <c r="I90" s="5">
        <v>-167477279</v>
      </c>
      <c r="J90" s="5">
        <v>-670594475</v>
      </c>
    </row>
    <row r="91" spans="1:10" x14ac:dyDescent="0.3">
      <c r="A91" t="s">
        <v>49</v>
      </c>
      <c r="B91" t="str">
        <f t="shared" si="4"/>
        <v>4</v>
      </c>
      <c r="C91" t="str">
        <f t="shared" si="5"/>
        <v>40</v>
      </c>
      <c r="D91" t="str">
        <f t="shared" si="6"/>
        <v>401</v>
      </c>
      <c r="E91" t="str">
        <f t="shared" si="7"/>
        <v>4011</v>
      </c>
      <c r="F91" s="10" t="s">
        <v>353</v>
      </c>
      <c r="G91" t="s">
        <v>354</v>
      </c>
      <c r="H91" s="5">
        <v>-138272879</v>
      </c>
      <c r="I91" s="5">
        <v>-173600663</v>
      </c>
      <c r="J91" s="5">
        <v>-223898471</v>
      </c>
    </row>
    <row r="92" spans="1:10" x14ac:dyDescent="0.3">
      <c r="A92" t="s">
        <v>49</v>
      </c>
      <c r="B92" t="str">
        <f t="shared" si="4"/>
        <v>4</v>
      </c>
      <c r="C92" t="str">
        <f t="shared" si="5"/>
        <v>40</v>
      </c>
      <c r="D92" t="str">
        <f t="shared" si="6"/>
        <v>401</v>
      </c>
      <c r="E92" t="str">
        <f t="shared" si="7"/>
        <v>4011</v>
      </c>
      <c r="F92" s="10" t="s">
        <v>355</v>
      </c>
      <c r="G92" t="s">
        <v>356</v>
      </c>
      <c r="H92" s="5">
        <v>-66914335</v>
      </c>
      <c r="I92" s="5">
        <v>-75458643</v>
      </c>
      <c r="J92" s="5">
        <v>-151700195</v>
      </c>
    </row>
    <row r="93" spans="1:10" x14ac:dyDescent="0.3">
      <c r="A93" t="s">
        <v>49</v>
      </c>
      <c r="B93" t="str">
        <f t="shared" si="4"/>
        <v>4</v>
      </c>
      <c r="C93" t="str">
        <f t="shared" si="5"/>
        <v>40</v>
      </c>
      <c r="D93" t="str">
        <f t="shared" si="6"/>
        <v>401</v>
      </c>
      <c r="E93" t="str">
        <f t="shared" si="7"/>
        <v>4011</v>
      </c>
      <c r="F93" s="10" t="s">
        <v>357</v>
      </c>
      <c r="G93" t="s">
        <v>358</v>
      </c>
      <c r="H93" s="5">
        <v>-171093216</v>
      </c>
      <c r="I93" s="5">
        <v>1788955879</v>
      </c>
      <c r="J93" s="5">
        <v>3234078432</v>
      </c>
    </row>
    <row r="94" spans="1:10" x14ac:dyDescent="0.3">
      <c r="A94" t="s">
        <v>49</v>
      </c>
      <c r="B94" t="str">
        <f t="shared" si="4"/>
        <v>4</v>
      </c>
      <c r="C94" t="str">
        <f t="shared" si="5"/>
        <v>40</v>
      </c>
      <c r="D94" t="str">
        <f t="shared" si="6"/>
        <v>401</v>
      </c>
      <c r="E94" t="str">
        <f t="shared" si="7"/>
        <v>4011</v>
      </c>
      <c r="F94" s="10" t="s">
        <v>359</v>
      </c>
      <c r="G94" t="s">
        <v>360</v>
      </c>
      <c r="H94" s="5">
        <v>-29965181</v>
      </c>
      <c r="I94" s="5">
        <v>46938066</v>
      </c>
      <c r="J94" s="5">
        <v>138767634</v>
      </c>
    </row>
    <row r="95" spans="1:10" x14ac:dyDescent="0.3">
      <c r="A95" t="s">
        <v>49</v>
      </c>
      <c r="B95" t="str">
        <f t="shared" si="4"/>
        <v>4</v>
      </c>
      <c r="C95" t="str">
        <f t="shared" si="5"/>
        <v>40</v>
      </c>
      <c r="D95" t="str">
        <f t="shared" si="6"/>
        <v>401</v>
      </c>
      <c r="E95" t="str">
        <f t="shared" si="7"/>
        <v>4011</v>
      </c>
      <c r="F95" s="10" t="s">
        <v>361</v>
      </c>
      <c r="G95" t="s">
        <v>362</v>
      </c>
      <c r="H95" s="5">
        <v>-37645394</v>
      </c>
      <c r="I95" s="5">
        <v>-52295355</v>
      </c>
      <c r="J95" s="5">
        <v>-221869092</v>
      </c>
    </row>
    <row r="96" spans="1:10" x14ac:dyDescent="0.3">
      <c r="A96" t="s">
        <v>49</v>
      </c>
      <c r="B96" t="str">
        <f t="shared" si="4"/>
        <v>4</v>
      </c>
      <c r="C96" t="str">
        <f t="shared" si="5"/>
        <v>40</v>
      </c>
      <c r="D96" t="str">
        <f t="shared" si="6"/>
        <v>402</v>
      </c>
      <c r="E96" t="str">
        <f t="shared" si="7"/>
        <v>4021</v>
      </c>
      <c r="F96" s="10" t="s">
        <v>363</v>
      </c>
      <c r="G96" t="s">
        <v>364</v>
      </c>
      <c r="H96" s="5">
        <v>-114000000</v>
      </c>
      <c r="I96" s="5">
        <v>0</v>
      </c>
      <c r="J96" s="5">
        <v>0</v>
      </c>
    </row>
    <row r="97" spans="1:10" x14ac:dyDescent="0.3">
      <c r="A97" t="s">
        <v>49</v>
      </c>
      <c r="B97" t="str">
        <f t="shared" si="4"/>
        <v>4</v>
      </c>
      <c r="C97" t="str">
        <f t="shared" si="5"/>
        <v>40</v>
      </c>
      <c r="D97" t="str">
        <f t="shared" si="6"/>
        <v>408</v>
      </c>
      <c r="E97" t="str">
        <f t="shared" si="7"/>
        <v>4080</v>
      </c>
      <c r="F97" s="10" t="s">
        <v>365</v>
      </c>
      <c r="G97" t="s">
        <v>366</v>
      </c>
      <c r="H97" s="5">
        <v>-20000000</v>
      </c>
      <c r="I97" s="5">
        <v>0</v>
      </c>
      <c r="J97" s="5">
        <v>-119824549</v>
      </c>
    </row>
    <row r="98" spans="1:10" x14ac:dyDescent="0.3">
      <c r="A98" t="s">
        <v>51</v>
      </c>
      <c r="B98" t="str">
        <f t="shared" si="4"/>
        <v>4</v>
      </c>
      <c r="C98" t="str">
        <f t="shared" si="5"/>
        <v>40</v>
      </c>
      <c r="D98" t="str">
        <f t="shared" si="6"/>
        <v>409</v>
      </c>
      <c r="E98" t="str">
        <f t="shared" si="7"/>
        <v>4091</v>
      </c>
      <c r="F98" s="10" t="s">
        <v>367</v>
      </c>
      <c r="G98" t="s">
        <v>368</v>
      </c>
      <c r="H98" s="5">
        <v>0</v>
      </c>
      <c r="I98" s="5">
        <v>167511</v>
      </c>
      <c r="J98" s="5">
        <v>-87399</v>
      </c>
    </row>
    <row r="99" spans="1:10" x14ac:dyDescent="0.3">
      <c r="A99" t="s">
        <v>51</v>
      </c>
      <c r="B99" t="str">
        <f t="shared" si="4"/>
        <v>4</v>
      </c>
      <c r="C99" t="str">
        <f t="shared" si="5"/>
        <v>40</v>
      </c>
      <c r="D99" t="str">
        <f t="shared" si="6"/>
        <v>409</v>
      </c>
      <c r="E99" t="str">
        <f t="shared" si="7"/>
        <v>4091</v>
      </c>
      <c r="F99" s="10" t="s">
        <v>369</v>
      </c>
      <c r="G99" t="s">
        <v>370</v>
      </c>
      <c r="H99" s="5">
        <v>1000000</v>
      </c>
      <c r="I99" s="5">
        <v>1000000</v>
      </c>
      <c r="J99" s="5">
        <v>1000000</v>
      </c>
    </row>
    <row r="100" spans="1:10" x14ac:dyDescent="0.3">
      <c r="A100" t="s">
        <v>51</v>
      </c>
      <c r="B100" t="str">
        <f t="shared" si="4"/>
        <v>4</v>
      </c>
      <c r="C100" t="str">
        <f t="shared" si="5"/>
        <v>40</v>
      </c>
      <c r="D100" t="str">
        <f t="shared" si="6"/>
        <v>409</v>
      </c>
      <c r="E100" t="str">
        <f t="shared" si="7"/>
        <v>4091</v>
      </c>
      <c r="F100" s="10" t="s">
        <v>371</v>
      </c>
      <c r="G100" t="s">
        <v>372</v>
      </c>
      <c r="H100" s="5">
        <v>1000000</v>
      </c>
      <c r="I100" s="5">
        <v>1000000</v>
      </c>
      <c r="J100" s="5">
        <v>1000000</v>
      </c>
    </row>
    <row r="101" spans="1:10" x14ac:dyDescent="0.3">
      <c r="A101" t="s">
        <v>51</v>
      </c>
      <c r="B101" t="str">
        <f t="shared" si="4"/>
        <v>4</v>
      </c>
      <c r="C101" t="str">
        <f t="shared" si="5"/>
        <v>40</v>
      </c>
      <c r="D101" t="str">
        <f t="shared" si="6"/>
        <v>409</v>
      </c>
      <c r="E101" t="str">
        <f t="shared" si="7"/>
        <v>4091</v>
      </c>
      <c r="F101" s="10" t="s">
        <v>373</v>
      </c>
      <c r="G101" t="s">
        <v>374</v>
      </c>
      <c r="H101" s="5">
        <v>4</v>
      </c>
      <c r="I101" s="5">
        <v>4</v>
      </c>
      <c r="J101" s="5">
        <v>4</v>
      </c>
    </row>
    <row r="102" spans="1:10" x14ac:dyDescent="0.3">
      <c r="A102" t="s">
        <v>51</v>
      </c>
      <c r="B102" t="str">
        <f t="shared" si="4"/>
        <v>4</v>
      </c>
      <c r="C102" t="str">
        <f t="shared" si="5"/>
        <v>40</v>
      </c>
      <c r="D102" t="str">
        <f t="shared" si="6"/>
        <v>409</v>
      </c>
      <c r="E102" t="str">
        <f t="shared" si="7"/>
        <v>4091</v>
      </c>
      <c r="F102" s="10" t="s">
        <v>375</v>
      </c>
      <c r="G102" t="s">
        <v>376</v>
      </c>
      <c r="H102" s="5">
        <v>-3030000</v>
      </c>
      <c r="I102" s="5">
        <v>-3030000</v>
      </c>
      <c r="J102" s="5">
        <v>-3030000</v>
      </c>
    </row>
    <row r="103" spans="1:10" x14ac:dyDescent="0.3">
      <c r="A103" t="s">
        <v>51</v>
      </c>
      <c r="B103" t="str">
        <f t="shared" si="4"/>
        <v>4</v>
      </c>
      <c r="C103" t="str">
        <f t="shared" si="5"/>
        <v>40</v>
      </c>
      <c r="D103" t="str">
        <f t="shared" si="6"/>
        <v>409</v>
      </c>
      <c r="E103" t="str">
        <f t="shared" si="7"/>
        <v>4091</v>
      </c>
      <c r="F103" s="10" t="s">
        <v>377</v>
      </c>
      <c r="G103" t="s">
        <v>378</v>
      </c>
      <c r="H103" s="5">
        <v>3300000</v>
      </c>
      <c r="I103" s="5">
        <v>3300000</v>
      </c>
      <c r="J103" s="5">
        <v>3300000</v>
      </c>
    </row>
    <row r="104" spans="1:10" x14ac:dyDescent="0.3">
      <c r="A104" t="s">
        <v>51</v>
      </c>
      <c r="B104" t="str">
        <f t="shared" si="4"/>
        <v>4</v>
      </c>
      <c r="C104" t="str">
        <f t="shared" si="5"/>
        <v>40</v>
      </c>
      <c r="D104" t="str">
        <f t="shared" si="6"/>
        <v>409</v>
      </c>
      <c r="E104" t="str">
        <f t="shared" si="7"/>
        <v>4091</v>
      </c>
      <c r="F104" s="10" t="s">
        <v>379</v>
      </c>
      <c r="G104" t="s">
        <v>380</v>
      </c>
      <c r="H104" s="5">
        <v>180000</v>
      </c>
      <c r="I104" s="5">
        <v>180000</v>
      </c>
      <c r="J104" s="5">
        <v>180000</v>
      </c>
    </row>
    <row r="105" spans="1:10" x14ac:dyDescent="0.3">
      <c r="A105" t="s">
        <v>51</v>
      </c>
      <c r="B105" t="str">
        <f t="shared" si="4"/>
        <v>4</v>
      </c>
      <c r="C105" t="str">
        <f t="shared" si="5"/>
        <v>40</v>
      </c>
      <c r="D105" t="str">
        <f t="shared" si="6"/>
        <v>409</v>
      </c>
      <c r="E105" t="str">
        <f t="shared" si="7"/>
        <v>4091</v>
      </c>
      <c r="F105" s="10" t="s">
        <v>381</v>
      </c>
      <c r="G105" t="s">
        <v>382</v>
      </c>
      <c r="H105" s="5">
        <v>0</v>
      </c>
      <c r="I105" s="5">
        <v>0</v>
      </c>
      <c r="J105" s="5">
        <v>0</v>
      </c>
    </row>
    <row r="106" spans="1:10" x14ac:dyDescent="0.3">
      <c r="A106" t="s">
        <v>51</v>
      </c>
      <c r="B106" t="str">
        <f t="shared" si="4"/>
        <v>4</v>
      </c>
      <c r="C106" t="str">
        <f t="shared" si="5"/>
        <v>40</v>
      </c>
      <c r="D106" t="str">
        <f t="shared" si="6"/>
        <v>409</v>
      </c>
      <c r="E106" t="str">
        <f t="shared" si="7"/>
        <v>4091</v>
      </c>
      <c r="F106" s="10" t="s">
        <v>383</v>
      </c>
      <c r="G106" t="s">
        <v>384</v>
      </c>
      <c r="H106" s="5">
        <v>5000000</v>
      </c>
      <c r="I106" s="5">
        <v>0</v>
      </c>
      <c r="J106" s="5">
        <v>0</v>
      </c>
    </row>
    <row r="107" spans="1:10" x14ac:dyDescent="0.3">
      <c r="A107" t="s">
        <v>51</v>
      </c>
      <c r="B107" t="str">
        <f t="shared" si="4"/>
        <v>4</v>
      </c>
      <c r="C107" t="str">
        <f t="shared" si="5"/>
        <v>40</v>
      </c>
      <c r="D107" t="str">
        <f t="shared" si="6"/>
        <v>409</v>
      </c>
      <c r="E107" t="str">
        <f t="shared" si="7"/>
        <v>4091</v>
      </c>
      <c r="F107" s="10" t="s">
        <v>385</v>
      </c>
      <c r="G107" t="s">
        <v>386</v>
      </c>
      <c r="H107" s="5">
        <v>4250000</v>
      </c>
      <c r="I107" s="5">
        <v>0</v>
      </c>
      <c r="J107" s="5">
        <v>0</v>
      </c>
    </row>
    <row r="108" spans="1:10" x14ac:dyDescent="0.3">
      <c r="A108" t="s">
        <v>53</v>
      </c>
      <c r="B108" t="str">
        <f t="shared" si="4"/>
        <v>4</v>
      </c>
      <c r="C108" t="str">
        <f t="shared" si="5"/>
        <v>41</v>
      </c>
      <c r="D108" t="str">
        <f t="shared" si="6"/>
        <v>411</v>
      </c>
      <c r="E108" t="str">
        <f t="shared" si="7"/>
        <v>4112</v>
      </c>
      <c r="F108" s="10" t="s">
        <v>387</v>
      </c>
      <c r="G108" t="s">
        <v>388</v>
      </c>
      <c r="H108" s="5">
        <v>-70638559</v>
      </c>
      <c r="I108" s="5">
        <v>-45416860</v>
      </c>
      <c r="J108" s="5">
        <v>16361709</v>
      </c>
    </row>
    <row r="109" spans="1:10" x14ac:dyDescent="0.3">
      <c r="A109" t="s">
        <v>53</v>
      </c>
      <c r="B109" t="str">
        <f t="shared" si="4"/>
        <v>4</v>
      </c>
      <c r="C109" t="str">
        <f t="shared" si="5"/>
        <v>41</v>
      </c>
      <c r="D109" t="str">
        <f t="shared" si="6"/>
        <v>411</v>
      </c>
      <c r="E109" t="str">
        <f t="shared" si="7"/>
        <v>4113</v>
      </c>
      <c r="F109" s="10" t="s">
        <v>389</v>
      </c>
      <c r="G109" t="s">
        <v>390</v>
      </c>
      <c r="H109" s="5">
        <v>975319857</v>
      </c>
      <c r="I109" s="5">
        <v>290463895</v>
      </c>
      <c r="J109" s="5">
        <v>643133843</v>
      </c>
    </row>
    <row r="110" spans="1:10" x14ac:dyDescent="0.3">
      <c r="A110" t="s">
        <v>53</v>
      </c>
      <c r="B110" t="str">
        <f t="shared" si="4"/>
        <v>4</v>
      </c>
      <c r="C110" t="str">
        <f t="shared" si="5"/>
        <v>41</v>
      </c>
      <c r="D110" t="str">
        <f t="shared" si="6"/>
        <v>412</v>
      </c>
      <c r="E110" t="str">
        <f t="shared" si="7"/>
        <v>4121</v>
      </c>
      <c r="F110" s="10" t="s">
        <v>391</v>
      </c>
      <c r="G110" t="s">
        <v>392</v>
      </c>
      <c r="H110" s="5">
        <v>0</v>
      </c>
      <c r="I110" s="5">
        <v>427750000</v>
      </c>
      <c r="J110" s="5">
        <v>0</v>
      </c>
    </row>
    <row r="111" spans="1:10" x14ac:dyDescent="0.3">
      <c r="A111" t="s">
        <v>53</v>
      </c>
      <c r="B111" t="str">
        <f t="shared" si="4"/>
        <v>4</v>
      </c>
      <c r="C111" t="str">
        <f t="shared" si="5"/>
        <v>41</v>
      </c>
      <c r="D111" t="str">
        <f t="shared" si="6"/>
        <v>415</v>
      </c>
      <c r="E111" t="str">
        <f t="shared" si="7"/>
        <v>4151</v>
      </c>
      <c r="F111" s="10" t="s">
        <v>393</v>
      </c>
      <c r="G111" t="s">
        <v>394</v>
      </c>
      <c r="H111" s="5">
        <v>415084136</v>
      </c>
      <c r="I111" s="5">
        <v>0</v>
      </c>
      <c r="J111" s="5">
        <v>0</v>
      </c>
    </row>
    <row r="112" spans="1:10" x14ac:dyDescent="0.3">
      <c r="A112" t="s">
        <v>53</v>
      </c>
      <c r="B112" t="str">
        <f t="shared" si="4"/>
        <v>4</v>
      </c>
      <c r="C112" t="str">
        <f t="shared" si="5"/>
        <v>41</v>
      </c>
      <c r="D112" t="str">
        <f t="shared" si="6"/>
        <v>415</v>
      </c>
      <c r="E112" t="str">
        <f t="shared" si="7"/>
        <v>4151</v>
      </c>
      <c r="F112" s="10" t="s">
        <v>395</v>
      </c>
      <c r="G112" t="s">
        <v>396</v>
      </c>
      <c r="H112" s="5">
        <v>730000000</v>
      </c>
      <c r="I112" s="5">
        <v>0</v>
      </c>
      <c r="J112" s="5">
        <v>173186000</v>
      </c>
    </row>
    <row r="113" spans="1:10" x14ac:dyDescent="0.3">
      <c r="A113" t="s">
        <v>53</v>
      </c>
      <c r="B113" t="str">
        <f t="shared" si="4"/>
        <v>4</v>
      </c>
      <c r="C113" t="str">
        <f t="shared" si="5"/>
        <v>41</v>
      </c>
      <c r="D113" t="str">
        <f t="shared" si="6"/>
        <v>415</v>
      </c>
      <c r="E113" t="str">
        <f t="shared" si="7"/>
        <v>4151</v>
      </c>
      <c r="F113" s="10" t="s">
        <v>397</v>
      </c>
      <c r="G113" t="s">
        <v>398</v>
      </c>
      <c r="H113" s="5">
        <v>0</v>
      </c>
      <c r="I113" s="5">
        <v>0</v>
      </c>
      <c r="J113" s="5">
        <v>0</v>
      </c>
    </row>
    <row r="114" spans="1:10" x14ac:dyDescent="0.3">
      <c r="A114" t="s">
        <v>53</v>
      </c>
      <c r="B114" t="str">
        <f t="shared" si="4"/>
        <v>4</v>
      </c>
      <c r="C114" t="str">
        <f t="shared" si="5"/>
        <v>41</v>
      </c>
      <c r="D114" t="str">
        <f t="shared" si="6"/>
        <v>415</v>
      </c>
      <c r="E114" t="str">
        <f t="shared" si="7"/>
        <v>4152</v>
      </c>
      <c r="F114" s="10" t="s">
        <v>399</v>
      </c>
      <c r="G114" t="s">
        <v>400</v>
      </c>
      <c r="H114" s="5">
        <v>194187224</v>
      </c>
      <c r="I114" s="5">
        <v>0</v>
      </c>
      <c r="J114" s="5">
        <v>240000000</v>
      </c>
    </row>
    <row r="115" spans="1:10" x14ac:dyDescent="0.3">
      <c r="A115" t="s">
        <v>53</v>
      </c>
      <c r="B115" t="str">
        <f t="shared" si="4"/>
        <v>4</v>
      </c>
      <c r="C115" t="str">
        <f t="shared" si="5"/>
        <v>41</v>
      </c>
      <c r="D115" t="str">
        <f t="shared" si="6"/>
        <v>415</v>
      </c>
      <c r="E115" t="str">
        <f t="shared" si="7"/>
        <v>4154</v>
      </c>
      <c r="F115" s="10" t="s">
        <v>401</v>
      </c>
      <c r="G115" t="s">
        <v>402</v>
      </c>
      <c r="H115" s="5">
        <v>1072900000</v>
      </c>
      <c r="I115" s="5">
        <v>844880110</v>
      </c>
      <c r="J115" s="5">
        <v>189327700</v>
      </c>
    </row>
    <row r="116" spans="1:10" x14ac:dyDescent="0.3">
      <c r="A116" t="s">
        <v>53</v>
      </c>
      <c r="B116" t="str">
        <f t="shared" si="4"/>
        <v>4</v>
      </c>
      <c r="C116" t="str">
        <f t="shared" si="5"/>
        <v>41</v>
      </c>
      <c r="D116" t="str">
        <f t="shared" si="6"/>
        <v>415</v>
      </c>
      <c r="E116" t="str">
        <f t="shared" si="7"/>
        <v>4155</v>
      </c>
      <c r="F116" s="10" t="s">
        <v>403</v>
      </c>
      <c r="G116" t="s">
        <v>404</v>
      </c>
      <c r="H116" s="5">
        <v>500000000</v>
      </c>
      <c r="I116" s="5">
        <v>0</v>
      </c>
      <c r="J116" s="5">
        <v>365000000</v>
      </c>
    </row>
    <row r="117" spans="1:10" x14ac:dyDescent="0.3">
      <c r="A117" t="s">
        <v>53</v>
      </c>
      <c r="B117" t="str">
        <f t="shared" si="4"/>
        <v>4</v>
      </c>
      <c r="C117" t="str">
        <f t="shared" si="5"/>
        <v>41</v>
      </c>
      <c r="D117" t="str">
        <f t="shared" si="6"/>
        <v>415</v>
      </c>
      <c r="E117" t="str">
        <f t="shared" si="7"/>
        <v>4159</v>
      </c>
      <c r="F117" s="10" t="s">
        <v>405</v>
      </c>
      <c r="G117" t="s">
        <v>406</v>
      </c>
      <c r="H117" s="5">
        <v>800000000</v>
      </c>
      <c r="I117" s="5">
        <v>0</v>
      </c>
      <c r="J117" s="5">
        <v>0</v>
      </c>
    </row>
    <row r="118" spans="1:10" x14ac:dyDescent="0.3">
      <c r="A118" t="s">
        <v>53</v>
      </c>
      <c r="B118" t="str">
        <f t="shared" si="4"/>
        <v>4</v>
      </c>
      <c r="C118" t="str">
        <f t="shared" si="5"/>
        <v>41</v>
      </c>
      <c r="D118" t="str">
        <f t="shared" si="6"/>
        <v>416</v>
      </c>
      <c r="E118" t="str">
        <f t="shared" si="7"/>
        <v>4162</v>
      </c>
      <c r="F118" s="10" t="s">
        <v>407</v>
      </c>
      <c r="G118" t="s">
        <v>408</v>
      </c>
      <c r="H118" s="5">
        <v>0</v>
      </c>
      <c r="I118" s="5">
        <v>135614987</v>
      </c>
      <c r="J118" s="5">
        <v>135614987</v>
      </c>
    </row>
    <row r="119" spans="1:10" x14ac:dyDescent="0.3">
      <c r="A119" t="s">
        <v>57</v>
      </c>
      <c r="B119" t="str">
        <f t="shared" si="4"/>
        <v>4</v>
      </c>
      <c r="C119" t="str">
        <f t="shared" si="5"/>
        <v>42</v>
      </c>
      <c r="D119" t="str">
        <f t="shared" si="6"/>
        <v>421</v>
      </c>
      <c r="E119" t="str">
        <f t="shared" si="7"/>
        <v>4210</v>
      </c>
      <c r="F119" s="10" t="s">
        <v>409</v>
      </c>
      <c r="G119" t="s">
        <v>410</v>
      </c>
      <c r="H119" s="5">
        <v>0</v>
      </c>
      <c r="I119" s="5">
        <v>0</v>
      </c>
      <c r="J119" s="5">
        <v>668650</v>
      </c>
    </row>
    <row r="120" spans="1:10" x14ac:dyDescent="0.3">
      <c r="A120" t="s">
        <v>57</v>
      </c>
      <c r="B120" t="str">
        <f t="shared" si="4"/>
        <v>4</v>
      </c>
      <c r="C120" t="str">
        <f t="shared" si="5"/>
        <v>42</v>
      </c>
      <c r="D120" t="str">
        <f t="shared" si="6"/>
        <v>421</v>
      </c>
      <c r="E120" t="str">
        <f t="shared" si="7"/>
        <v>4211</v>
      </c>
      <c r="F120" s="10" t="s">
        <v>411</v>
      </c>
      <c r="G120" t="s">
        <v>412</v>
      </c>
      <c r="H120" s="5">
        <v>5667640</v>
      </c>
      <c r="I120" s="5">
        <v>6057165</v>
      </c>
      <c r="J120" s="5">
        <v>2166796</v>
      </c>
    </row>
    <row r="121" spans="1:10" x14ac:dyDescent="0.3">
      <c r="A121" t="s">
        <v>57</v>
      </c>
      <c r="B121" t="str">
        <f t="shared" si="4"/>
        <v>4</v>
      </c>
      <c r="C121" t="str">
        <f t="shared" si="5"/>
        <v>42</v>
      </c>
      <c r="D121" t="str">
        <f t="shared" si="6"/>
        <v>421</v>
      </c>
      <c r="E121" t="str">
        <f t="shared" si="7"/>
        <v>4211</v>
      </c>
      <c r="F121" s="10" t="s">
        <v>413</v>
      </c>
      <c r="G121" t="s">
        <v>414</v>
      </c>
      <c r="H121" s="5">
        <v>0</v>
      </c>
      <c r="I121" s="5">
        <v>0</v>
      </c>
      <c r="J121" s="5">
        <v>0</v>
      </c>
    </row>
    <row r="122" spans="1:10" x14ac:dyDescent="0.3">
      <c r="A122" t="s">
        <v>57</v>
      </c>
      <c r="B122" t="str">
        <f t="shared" si="4"/>
        <v>4</v>
      </c>
      <c r="C122" t="str">
        <f t="shared" si="5"/>
        <v>42</v>
      </c>
      <c r="D122" t="str">
        <f t="shared" si="6"/>
        <v>421</v>
      </c>
      <c r="E122" t="str">
        <f t="shared" si="7"/>
        <v>4211</v>
      </c>
      <c r="F122" s="10" t="s">
        <v>415</v>
      </c>
      <c r="G122" t="s">
        <v>416</v>
      </c>
      <c r="H122" s="5">
        <v>0</v>
      </c>
      <c r="I122" s="5">
        <v>0</v>
      </c>
      <c r="J122" s="5">
        <v>33333</v>
      </c>
    </row>
    <row r="123" spans="1:10" x14ac:dyDescent="0.3">
      <c r="A123" t="s">
        <v>57</v>
      </c>
      <c r="B123" t="str">
        <f t="shared" si="4"/>
        <v>4</v>
      </c>
      <c r="C123" t="str">
        <f t="shared" si="5"/>
        <v>42</v>
      </c>
      <c r="D123" t="str">
        <f t="shared" si="6"/>
        <v>421</v>
      </c>
      <c r="E123" t="str">
        <f t="shared" si="7"/>
        <v>4211</v>
      </c>
      <c r="F123" s="10" t="s">
        <v>417</v>
      </c>
      <c r="G123" t="s">
        <v>418</v>
      </c>
      <c r="H123" s="5">
        <v>15767092</v>
      </c>
      <c r="I123" s="5">
        <v>16268579</v>
      </c>
      <c r="J123" s="5">
        <v>16338523</v>
      </c>
    </row>
    <row r="124" spans="1:10" x14ac:dyDescent="0.3">
      <c r="A124" t="s">
        <v>57</v>
      </c>
      <c r="B124" t="str">
        <f t="shared" si="4"/>
        <v>4</v>
      </c>
      <c r="C124" t="str">
        <f t="shared" si="5"/>
        <v>42</v>
      </c>
      <c r="D124" t="str">
        <f t="shared" si="6"/>
        <v>421</v>
      </c>
      <c r="E124" t="str">
        <f t="shared" si="7"/>
        <v>4211</v>
      </c>
      <c r="F124" s="10" t="s">
        <v>419</v>
      </c>
      <c r="G124" t="s">
        <v>420</v>
      </c>
      <c r="H124" s="5">
        <v>0</v>
      </c>
      <c r="I124" s="5">
        <v>0</v>
      </c>
      <c r="J124" s="5">
        <v>10000</v>
      </c>
    </row>
    <row r="125" spans="1:10" x14ac:dyDescent="0.3">
      <c r="A125" t="s">
        <v>57</v>
      </c>
      <c r="B125" t="str">
        <f t="shared" si="4"/>
        <v>4</v>
      </c>
      <c r="C125" t="str">
        <f t="shared" si="5"/>
        <v>42</v>
      </c>
      <c r="D125" t="str">
        <f t="shared" si="6"/>
        <v>421</v>
      </c>
      <c r="E125" t="str">
        <f t="shared" si="7"/>
        <v>4212</v>
      </c>
      <c r="F125" s="10" t="s">
        <v>421</v>
      </c>
      <c r="G125" t="s">
        <v>422</v>
      </c>
      <c r="H125" s="5">
        <v>870000</v>
      </c>
      <c r="I125" s="5">
        <v>981248</v>
      </c>
      <c r="J125" s="5">
        <v>835000</v>
      </c>
    </row>
    <row r="126" spans="1:10" x14ac:dyDescent="0.3">
      <c r="A126" t="s">
        <v>57</v>
      </c>
      <c r="B126" t="str">
        <f t="shared" si="4"/>
        <v>4</v>
      </c>
      <c r="C126" t="str">
        <f t="shared" si="5"/>
        <v>42</v>
      </c>
      <c r="D126" t="str">
        <f t="shared" si="6"/>
        <v>421</v>
      </c>
      <c r="E126" t="str">
        <f t="shared" si="7"/>
        <v>4215</v>
      </c>
      <c r="F126" s="10" t="s">
        <v>423</v>
      </c>
      <c r="G126" t="s">
        <v>424</v>
      </c>
      <c r="H126" s="5">
        <v>0</v>
      </c>
      <c r="I126" s="5">
        <v>0</v>
      </c>
      <c r="J126" s="5">
        <v>10000</v>
      </c>
    </row>
    <row r="127" spans="1:10" x14ac:dyDescent="0.3">
      <c r="A127" t="s">
        <v>57</v>
      </c>
      <c r="B127" t="str">
        <f t="shared" si="4"/>
        <v>4</v>
      </c>
      <c r="C127" t="str">
        <f t="shared" si="5"/>
        <v>42</v>
      </c>
      <c r="D127" t="str">
        <f t="shared" si="6"/>
        <v>421</v>
      </c>
      <c r="E127" t="str">
        <f t="shared" si="7"/>
        <v>4216</v>
      </c>
      <c r="F127" s="10" t="s">
        <v>425</v>
      </c>
      <c r="G127" t="s">
        <v>426</v>
      </c>
      <c r="H127" s="5">
        <v>0</v>
      </c>
      <c r="I127" s="5">
        <v>0</v>
      </c>
      <c r="J127" s="5">
        <v>2000</v>
      </c>
    </row>
    <row r="128" spans="1:10" x14ac:dyDescent="0.3">
      <c r="A128" t="s">
        <v>57</v>
      </c>
      <c r="B128" t="str">
        <f t="shared" si="4"/>
        <v>4</v>
      </c>
      <c r="C128" t="str">
        <f t="shared" si="5"/>
        <v>42</v>
      </c>
      <c r="D128" t="str">
        <f t="shared" si="6"/>
        <v>421</v>
      </c>
      <c r="E128" t="str">
        <f t="shared" si="7"/>
        <v>4216</v>
      </c>
      <c r="F128" s="10" t="s">
        <v>427</v>
      </c>
      <c r="G128" t="s">
        <v>428</v>
      </c>
      <c r="H128" s="5">
        <v>0</v>
      </c>
      <c r="I128" s="5">
        <v>0</v>
      </c>
      <c r="J128" s="5">
        <v>7800</v>
      </c>
    </row>
    <row r="129" spans="1:10" x14ac:dyDescent="0.3">
      <c r="A129" t="s">
        <v>57</v>
      </c>
      <c r="B129" t="str">
        <f t="shared" si="4"/>
        <v>4</v>
      </c>
      <c r="C129" t="str">
        <f t="shared" si="5"/>
        <v>42</v>
      </c>
      <c r="D129" t="str">
        <f t="shared" si="6"/>
        <v>422</v>
      </c>
      <c r="E129" t="str">
        <f t="shared" si="7"/>
        <v>4221</v>
      </c>
      <c r="F129" s="10" t="s">
        <v>429</v>
      </c>
      <c r="G129" t="s">
        <v>430</v>
      </c>
      <c r="H129" s="5">
        <v>0</v>
      </c>
      <c r="I129" s="5">
        <v>-12788</v>
      </c>
      <c r="J129" s="5">
        <v>-49359</v>
      </c>
    </row>
    <row r="130" spans="1:10" x14ac:dyDescent="0.3">
      <c r="A130" t="s">
        <v>57</v>
      </c>
      <c r="B130" t="str">
        <f t="shared" ref="B130:B193" si="8">LEFT($F130,1)</f>
        <v>4</v>
      </c>
      <c r="C130" t="str">
        <f t="shared" ref="C130:C193" si="9">LEFT($F130,2)</f>
        <v>42</v>
      </c>
      <c r="D130" t="str">
        <f t="shared" ref="D130:D193" si="10">LEFT($F130,3)</f>
        <v>422</v>
      </c>
      <c r="E130" t="str">
        <f t="shared" ref="E130:E193" si="11">LEFT($F130,4)</f>
        <v>4221</v>
      </c>
      <c r="F130" s="10" t="s">
        <v>431</v>
      </c>
      <c r="G130" t="s">
        <v>432</v>
      </c>
      <c r="H130" s="5">
        <v>9725094</v>
      </c>
      <c r="I130" s="5">
        <v>-12744583</v>
      </c>
      <c r="J130" s="5">
        <v>-6134282</v>
      </c>
    </row>
    <row r="131" spans="1:10" x14ac:dyDescent="0.3">
      <c r="A131" t="s">
        <v>57</v>
      </c>
      <c r="B131" t="str">
        <f t="shared" si="8"/>
        <v>4</v>
      </c>
      <c r="C131" t="str">
        <f t="shared" si="9"/>
        <v>42</v>
      </c>
      <c r="D131" t="str">
        <f t="shared" si="10"/>
        <v>422</v>
      </c>
      <c r="E131" t="str">
        <f t="shared" si="11"/>
        <v>4221</v>
      </c>
      <c r="F131" s="10" t="s">
        <v>433</v>
      </c>
      <c r="G131" t="s">
        <v>434</v>
      </c>
      <c r="H131" s="5">
        <v>-20728304</v>
      </c>
      <c r="I131" s="5">
        <v>-52032058</v>
      </c>
      <c r="J131" s="5">
        <v>-31716715</v>
      </c>
    </row>
    <row r="132" spans="1:10" x14ac:dyDescent="0.3">
      <c r="A132" t="s">
        <v>57</v>
      </c>
      <c r="B132" t="str">
        <f t="shared" si="8"/>
        <v>4</v>
      </c>
      <c r="C132" t="str">
        <f t="shared" si="9"/>
        <v>42</v>
      </c>
      <c r="D132" t="str">
        <f t="shared" si="10"/>
        <v>422</v>
      </c>
      <c r="E132" t="str">
        <f t="shared" si="11"/>
        <v>4221</v>
      </c>
      <c r="F132" s="10" t="s">
        <v>435</v>
      </c>
      <c r="G132" t="s">
        <v>436</v>
      </c>
      <c r="H132" s="5">
        <v>-10305250</v>
      </c>
      <c r="I132" s="5">
        <v>-20945385</v>
      </c>
      <c r="J132" s="5">
        <v>-17920610</v>
      </c>
    </row>
    <row r="133" spans="1:10" x14ac:dyDescent="0.3">
      <c r="A133" t="s">
        <v>57</v>
      </c>
      <c r="B133" t="str">
        <f t="shared" si="8"/>
        <v>4</v>
      </c>
      <c r="C133" t="str">
        <f t="shared" si="9"/>
        <v>42</v>
      </c>
      <c r="D133" t="str">
        <f t="shared" si="10"/>
        <v>422</v>
      </c>
      <c r="E133" t="str">
        <f t="shared" si="11"/>
        <v>4221</v>
      </c>
      <c r="F133" s="10" t="s">
        <v>437</v>
      </c>
      <c r="G133" t="s">
        <v>438</v>
      </c>
      <c r="H133" s="5">
        <v>8145219</v>
      </c>
      <c r="I133" s="5">
        <v>-10788743</v>
      </c>
      <c r="J133" s="5">
        <v>-13201646</v>
      </c>
    </row>
    <row r="134" spans="1:10" x14ac:dyDescent="0.3">
      <c r="A134" t="s">
        <v>57</v>
      </c>
      <c r="B134" t="str">
        <f t="shared" si="8"/>
        <v>4</v>
      </c>
      <c r="C134" t="str">
        <f t="shared" si="9"/>
        <v>42</v>
      </c>
      <c r="D134" t="str">
        <f t="shared" si="10"/>
        <v>422</v>
      </c>
      <c r="E134" t="str">
        <f t="shared" si="11"/>
        <v>4221</v>
      </c>
      <c r="F134" s="10" t="s">
        <v>439</v>
      </c>
      <c r="G134" t="s">
        <v>440</v>
      </c>
      <c r="H134" s="5">
        <v>6969116</v>
      </c>
      <c r="I134" s="5">
        <v>6969116</v>
      </c>
      <c r="J134" s="5">
        <v>0</v>
      </c>
    </row>
    <row r="135" spans="1:10" x14ac:dyDescent="0.3">
      <c r="A135" t="s">
        <v>57</v>
      </c>
      <c r="B135" t="str">
        <f t="shared" si="8"/>
        <v>4</v>
      </c>
      <c r="C135" t="str">
        <f t="shared" si="9"/>
        <v>42</v>
      </c>
      <c r="D135" t="str">
        <f t="shared" si="10"/>
        <v>422</v>
      </c>
      <c r="E135" t="str">
        <f t="shared" si="11"/>
        <v>4221</v>
      </c>
      <c r="F135" s="10" t="s">
        <v>441</v>
      </c>
      <c r="G135" t="s">
        <v>442</v>
      </c>
      <c r="H135" s="5">
        <v>3113229</v>
      </c>
      <c r="I135" s="5">
        <v>3113229</v>
      </c>
      <c r="J135" s="5">
        <v>0</v>
      </c>
    </row>
    <row r="136" spans="1:10" x14ac:dyDescent="0.3">
      <c r="A136" t="s">
        <v>57</v>
      </c>
      <c r="B136" t="str">
        <f t="shared" si="8"/>
        <v>4</v>
      </c>
      <c r="C136" t="str">
        <f t="shared" si="9"/>
        <v>42</v>
      </c>
      <c r="D136" t="str">
        <f t="shared" si="10"/>
        <v>422</v>
      </c>
      <c r="E136" t="str">
        <f t="shared" si="11"/>
        <v>4221</v>
      </c>
      <c r="F136" s="10" t="s">
        <v>443</v>
      </c>
      <c r="G136" t="s">
        <v>444</v>
      </c>
      <c r="H136" s="5">
        <v>264302</v>
      </c>
      <c r="I136" s="5">
        <v>514599</v>
      </c>
      <c r="J136" s="5">
        <v>0</v>
      </c>
    </row>
    <row r="137" spans="1:10" x14ac:dyDescent="0.3">
      <c r="A137" t="s">
        <v>57</v>
      </c>
      <c r="B137" t="str">
        <f t="shared" si="8"/>
        <v>4</v>
      </c>
      <c r="C137" t="str">
        <f t="shared" si="9"/>
        <v>42</v>
      </c>
      <c r="D137" t="str">
        <f t="shared" si="10"/>
        <v>422</v>
      </c>
      <c r="E137" t="str">
        <f t="shared" si="11"/>
        <v>4221</v>
      </c>
      <c r="F137" s="10" t="s">
        <v>445</v>
      </c>
      <c r="G137" t="s">
        <v>446</v>
      </c>
      <c r="H137" s="5">
        <v>1471120</v>
      </c>
      <c r="I137" s="5">
        <v>1471120</v>
      </c>
      <c r="J137" s="5">
        <v>0</v>
      </c>
    </row>
    <row r="138" spans="1:10" x14ac:dyDescent="0.3">
      <c r="A138" t="s">
        <v>57</v>
      </c>
      <c r="B138" t="str">
        <f t="shared" si="8"/>
        <v>4</v>
      </c>
      <c r="C138" t="str">
        <f t="shared" si="9"/>
        <v>42</v>
      </c>
      <c r="D138" t="str">
        <f t="shared" si="10"/>
        <v>422</v>
      </c>
      <c r="E138" t="str">
        <f t="shared" si="11"/>
        <v>4221</v>
      </c>
      <c r="F138" s="10" t="s">
        <v>447</v>
      </c>
      <c r="G138" t="s">
        <v>448</v>
      </c>
      <c r="H138" s="5">
        <v>380829</v>
      </c>
      <c r="I138" s="5">
        <v>380829</v>
      </c>
      <c r="J138" s="5">
        <v>0</v>
      </c>
    </row>
    <row r="139" spans="1:10" x14ac:dyDescent="0.3">
      <c r="A139" t="s">
        <v>57</v>
      </c>
      <c r="B139" t="str">
        <f t="shared" si="8"/>
        <v>4</v>
      </c>
      <c r="C139" t="str">
        <f t="shared" si="9"/>
        <v>42</v>
      </c>
      <c r="D139" t="str">
        <f t="shared" si="10"/>
        <v>428</v>
      </c>
      <c r="E139" t="str">
        <f t="shared" si="11"/>
        <v>4281</v>
      </c>
      <c r="F139" s="10" t="s">
        <v>449</v>
      </c>
      <c r="G139" t="s">
        <v>450</v>
      </c>
      <c r="H139" s="5">
        <v>-66551678</v>
      </c>
      <c r="I139" s="5">
        <v>-27490654</v>
      </c>
      <c r="J139" s="5">
        <v>-37612194</v>
      </c>
    </row>
    <row r="140" spans="1:10" x14ac:dyDescent="0.3">
      <c r="A140" t="s">
        <v>57</v>
      </c>
      <c r="B140" t="str">
        <f t="shared" si="8"/>
        <v>4</v>
      </c>
      <c r="C140" t="str">
        <f t="shared" si="9"/>
        <v>42</v>
      </c>
      <c r="D140" t="str">
        <f t="shared" si="10"/>
        <v>428</v>
      </c>
      <c r="E140" t="str">
        <f t="shared" si="11"/>
        <v>4281</v>
      </c>
      <c r="F140" s="10" t="s">
        <v>451</v>
      </c>
      <c r="G140" t="s">
        <v>452</v>
      </c>
      <c r="H140" s="5">
        <v>0</v>
      </c>
      <c r="I140" s="5">
        <v>0</v>
      </c>
      <c r="J140" s="5">
        <v>0</v>
      </c>
    </row>
    <row r="141" spans="1:10" x14ac:dyDescent="0.3">
      <c r="A141" t="s">
        <v>57</v>
      </c>
      <c r="B141" t="str">
        <f t="shared" si="8"/>
        <v>4</v>
      </c>
      <c r="C141" t="str">
        <f t="shared" si="9"/>
        <v>42</v>
      </c>
      <c r="D141" t="str">
        <f t="shared" si="10"/>
        <v>428</v>
      </c>
      <c r="E141" t="str">
        <f t="shared" si="11"/>
        <v>4286</v>
      </c>
      <c r="F141" s="10" t="s">
        <v>453</v>
      </c>
      <c r="G141" t="s">
        <v>454</v>
      </c>
      <c r="H141" s="5">
        <v>0</v>
      </c>
      <c r="I141" s="5">
        <v>0</v>
      </c>
      <c r="J141" s="5">
        <v>-21557856</v>
      </c>
    </row>
    <row r="142" spans="1:10" x14ac:dyDescent="0.3">
      <c r="A142" t="s">
        <v>57</v>
      </c>
      <c r="B142" t="str">
        <f t="shared" si="8"/>
        <v>4</v>
      </c>
      <c r="C142" t="str">
        <f t="shared" si="9"/>
        <v>43</v>
      </c>
      <c r="D142" t="str">
        <f t="shared" si="10"/>
        <v>431</v>
      </c>
      <c r="E142" t="str">
        <f t="shared" si="11"/>
        <v>4311</v>
      </c>
      <c r="F142" s="10" t="s">
        <v>455</v>
      </c>
      <c r="G142" t="s">
        <v>456</v>
      </c>
      <c r="H142" s="5">
        <v>-1459699</v>
      </c>
      <c r="I142" s="5">
        <v>-1450988</v>
      </c>
      <c r="J142" s="5">
        <v>-1560524</v>
      </c>
    </row>
    <row r="143" spans="1:10" x14ac:dyDescent="0.3">
      <c r="A143" t="s">
        <v>57</v>
      </c>
      <c r="B143" t="str">
        <f t="shared" si="8"/>
        <v>4</v>
      </c>
      <c r="C143" t="str">
        <f t="shared" si="9"/>
        <v>43</v>
      </c>
      <c r="D143" t="str">
        <f t="shared" si="10"/>
        <v>431</v>
      </c>
      <c r="E143" t="str">
        <f t="shared" si="11"/>
        <v>4312</v>
      </c>
      <c r="F143" s="10" t="s">
        <v>457</v>
      </c>
      <c r="G143" t="s">
        <v>458</v>
      </c>
      <c r="H143" s="5">
        <v>-1500407</v>
      </c>
      <c r="I143" s="5">
        <v>-1464591</v>
      </c>
      <c r="J143" s="5">
        <v>-1442272</v>
      </c>
    </row>
    <row r="144" spans="1:10" x14ac:dyDescent="0.3">
      <c r="A144" t="s">
        <v>57</v>
      </c>
      <c r="B144" t="str">
        <f t="shared" si="8"/>
        <v>4</v>
      </c>
      <c r="C144" t="str">
        <f t="shared" si="9"/>
        <v>43</v>
      </c>
      <c r="D144" t="str">
        <f t="shared" si="10"/>
        <v>431</v>
      </c>
      <c r="E144" t="str">
        <f t="shared" si="11"/>
        <v>4313</v>
      </c>
      <c r="F144" s="10" t="s">
        <v>459</v>
      </c>
      <c r="G144" t="s">
        <v>460</v>
      </c>
      <c r="H144" s="5">
        <v>-15622602</v>
      </c>
      <c r="I144" s="5">
        <v>-16228385</v>
      </c>
      <c r="J144" s="5">
        <v>-17266437</v>
      </c>
    </row>
    <row r="145" spans="1:10" x14ac:dyDescent="0.3">
      <c r="A145" t="s">
        <v>57</v>
      </c>
      <c r="B145" t="str">
        <f t="shared" si="8"/>
        <v>4</v>
      </c>
      <c r="C145" t="str">
        <f t="shared" si="9"/>
        <v>43</v>
      </c>
      <c r="D145" t="str">
        <f t="shared" si="10"/>
        <v>431</v>
      </c>
      <c r="E145" t="str">
        <f t="shared" si="11"/>
        <v>4315</v>
      </c>
      <c r="F145" s="10" t="s">
        <v>461</v>
      </c>
      <c r="G145" t="s">
        <v>462</v>
      </c>
      <c r="H145" s="5">
        <v>-187500</v>
      </c>
      <c r="I145" s="5">
        <v>-187500</v>
      </c>
      <c r="J145" s="5">
        <v>-187500</v>
      </c>
    </row>
    <row r="146" spans="1:10" x14ac:dyDescent="0.3">
      <c r="A146" t="s">
        <v>57</v>
      </c>
      <c r="B146" t="str">
        <f t="shared" si="8"/>
        <v>4</v>
      </c>
      <c r="C146" t="str">
        <f t="shared" si="9"/>
        <v>43</v>
      </c>
      <c r="D146" t="str">
        <f t="shared" si="10"/>
        <v>431</v>
      </c>
      <c r="E146" t="str">
        <f t="shared" si="11"/>
        <v>4318</v>
      </c>
      <c r="F146" s="10" t="s">
        <v>463</v>
      </c>
      <c r="G146" t="s">
        <v>464</v>
      </c>
      <c r="H146" s="5">
        <v>3044</v>
      </c>
      <c r="I146" s="5">
        <v>3044</v>
      </c>
      <c r="J146" s="5">
        <v>3977679</v>
      </c>
    </row>
    <row r="147" spans="1:10" x14ac:dyDescent="0.3">
      <c r="A147" t="s">
        <v>57</v>
      </c>
      <c r="B147" t="str">
        <f t="shared" si="8"/>
        <v>4</v>
      </c>
      <c r="C147" t="str">
        <f t="shared" si="9"/>
        <v>43</v>
      </c>
      <c r="D147" t="str">
        <f t="shared" si="10"/>
        <v>433</v>
      </c>
      <c r="E147" t="str">
        <f t="shared" si="11"/>
        <v>4331</v>
      </c>
      <c r="F147" s="10" t="s">
        <v>465</v>
      </c>
      <c r="G147" t="s">
        <v>466</v>
      </c>
      <c r="H147" s="5">
        <v>-10000</v>
      </c>
      <c r="I147" s="5">
        <v>-1385000</v>
      </c>
      <c r="J147" s="5">
        <v>0</v>
      </c>
    </row>
    <row r="148" spans="1:10" x14ac:dyDescent="0.3">
      <c r="A148" t="s">
        <v>57</v>
      </c>
      <c r="B148" t="str">
        <f t="shared" si="8"/>
        <v>4</v>
      </c>
      <c r="C148" t="str">
        <f t="shared" si="9"/>
        <v>43</v>
      </c>
      <c r="D148" t="str">
        <f t="shared" si="10"/>
        <v>433</v>
      </c>
      <c r="E148" t="str">
        <f t="shared" si="11"/>
        <v>4332</v>
      </c>
      <c r="F148" s="10" t="s">
        <v>467</v>
      </c>
      <c r="G148" t="s">
        <v>468</v>
      </c>
      <c r="H148" s="5">
        <v>-325500</v>
      </c>
      <c r="I148" s="5">
        <v>1500</v>
      </c>
      <c r="J148" s="5">
        <v>1500</v>
      </c>
    </row>
    <row r="149" spans="1:10" x14ac:dyDescent="0.3">
      <c r="A149" t="s">
        <v>57</v>
      </c>
      <c r="B149" t="str">
        <f t="shared" si="8"/>
        <v>4</v>
      </c>
      <c r="C149" t="str">
        <f t="shared" si="9"/>
        <v>43</v>
      </c>
      <c r="D149" t="str">
        <f t="shared" si="10"/>
        <v>433</v>
      </c>
      <c r="E149" t="str">
        <f t="shared" si="11"/>
        <v>4333</v>
      </c>
      <c r="F149" s="10" t="s">
        <v>469</v>
      </c>
      <c r="G149" t="s">
        <v>470</v>
      </c>
      <c r="H149" s="5">
        <v>-1904000</v>
      </c>
      <c r="I149" s="5">
        <v>-4470500</v>
      </c>
      <c r="J149" s="5">
        <v>-3733500</v>
      </c>
    </row>
    <row r="150" spans="1:10" x14ac:dyDescent="0.3">
      <c r="A150" t="s">
        <v>60</v>
      </c>
      <c r="B150" t="str">
        <f t="shared" si="8"/>
        <v>4</v>
      </c>
      <c r="C150" t="str">
        <f t="shared" si="9"/>
        <v>44</v>
      </c>
      <c r="D150" t="str">
        <f t="shared" si="10"/>
        <v>442</v>
      </c>
      <c r="E150" t="str">
        <f t="shared" si="11"/>
        <v>4421</v>
      </c>
      <c r="F150" s="10" t="s">
        <v>471</v>
      </c>
      <c r="G150" t="s">
        <v>472</v>
      </c>
      <c r="H150" s="5">
        <v>-13666270</v>
      </c>
      <c r="I150" s="5">
        <v>-13148759</v>
      </c>
      <c r="J150" s="5">
        <v>-5425455</v>
      </c>
    </row>
    <row r="151" spans="1:10" x14ac:dyDescent="0.3">
      <c r="A151" t="s">
        <v>60</v>
      </c>
      <c r="B151" t="str">
        <f t="shared" si="8"/>
        <v>4</v>
      </c>
      <c r="C151" t="str">
        <f t="shared" si="9"/>
        <v>44</v>
      </c>
      <c r="D151" t="str">
        <f t="shared" si="10"/>
        <v>442</v>
      </c>
      <c r="E151" t="str">
        <f t="shared" si="11"/>
        <v>4422</v>
      </c>
      <c r="F151" s="10" t="s">
        <v>473</v>
      </c>
      <c r="G151" t="s">
        <v>474</v>
      </c>
      <c r="H151" s="5">
        <v>-38527</v>
      </c>
      <c r="I151" s="5">
        <v>-168599</v>
      </c>
      <c r="J151" s="5">
        <v>-182430</v>
      </c>
    </row>
    <row r="152" spans="1:10" x14ac:dyDescent="0.3">
      <c r="A152" t="s">
        <v>60</v>
      </c>
      <c r="B152" t="str">
        <f t="shared" si="8"/>
        <v>4</v>
      </c>
      <c r="C152" t="str">
        <f t="shared" si="9"/>
        <v>44</v>
      </c>
      <c r="D152" t="str">
        <f t="shared" si="10"/>
        <v>442</v>
      </c>
      <c r="E152" t="str">
        <f t="shared" si="11"/>
        <v>4423</v>
      </c>
      <c r="F152" s="10" t="s">
        <v>475</v>
      </c>
      <c r="G152" t="s">
        <v>476</v>
      </c>
      <c r="H152" s="5">
        <v>-154230885</v>
      </c>
      <c r="I152" s="5">
        <v>-146745889</v>
      </c>
      <c r="J152" s="5">
        <v>-18258058</v>
      </c>
    </row>
    <row r="153" spans="1:10" x14ac:dyDescent="0.3">
      <c r="A153" t="s">
        <v>60</v>
      </c>
      <c r="B153" t="str">
        <f t="shared" si="8"/>
        <v>4</v>
      </c>
      <c r="C153" t="str">
        <f t="shared" si="9"/>
        <v>44</v>
      </c>
      <c r="D153" t="str">
        <f t="shared" si="10"/>
        <v>442</v>
      </c>
      <c r="E153" t="str">
        <f t="shared" si="11"/>
        <v>4424</v>
      </c>
      <c r="F153" s="10" t="s">
        <v>477</v>
      </c>
      <c r="G153" t="s">
        <v>478</v>
      </c>
      <c r="H153" s="5">
        <v>-120410878</v>
      </c>
      <c r="I153" s="5">
        <v>-120410878</v>
      </c>
      <c r="J153" s="5">
        <v>-120410878</v>
      </c>
    </row>
    <row r="154" spans="1:10" x14ac:dyDescent="0.3">
      <c r="A154" t="s">
        <v>60</v>
      </c>
      <c r="B154" t="str">
        <f t="shared" si="8"/>
        <v>4</v>
      </c>
      <c r="C154" t="str">
        <f t="shared" si="9"/>
        <v>44</v>
      </c>
      <c r="D154" t="str">
        <f t="shared" si="10"/>
        <v>442</v>
      </c>
      <c r="E154" t="str">
        <f t="shared" si="11"/>
        <v>4425</v>
      </c>
      <c r="F154" s="10" t="s">
        <v>479</v>
      </c>
      <c r="G154" t="s">
        <v>480</v>
      </c>
      <c r="H154" s="5">
        <v>-2321381</v>
      </c>
      <c r="I154" s="5">
        <v>-1608876</v>
      </c>
      <c r="J154" s="5">
        <v>-2930040</v>
      </c>
    </row>
    <row r="155" spans="1:10" x14ac:dyDescent="0.3">
      <c r="A155" t="s">
        <v>60</v>
      </c>
      <c r="B155" t="str">
        <f t="shared" si="8"/>
        <v>4</v>
      </c>
      <c r="C155" t="str">
        <f t="shared" si="9"/>
        <v>44</v>
      </c>
      <c r="D155" t="str">
        <f t="shared" si="10"/>
        <v>442</v>
      </c>
      <c r="E155" t="str">
        <f t="shared" si="11"/>
        <v>4428</v>
      </c>
      <c r="F155" s="10" t="s">
        <v>481</v>
      </c>
      <c r="G155" t="s">
        <v>482</v>
      </c>
      <c r="H155" s="5">
        <v>31681286</v>
      </c>
      <c r="I155" s="5">
        <v>0</v>
      </c>
      <c r="J155" s="5">
        <v>0</v>
      </c>
    </row>
    <row r="156" spans="1:10" x14ac:dyDescent="0.3">
      <c r="A156" t="s">
        <v>60</v>
      </c>
      <c r="B156" t="str">
        <f t="shared" si="8"/>
        <v>4</v>
      </c>
      <c r="C156" t="str">
        <f t="shared" si="9"/>
        <v>44</v>
      </c>
      <c r="D156" t="str">
        <f t="shared" si="10"/>
        <v>442</v>
      </c>
      <c r="E156" t="str">
        <f t="shared" si="11"/>
        <v>4428</v>
      </c>
      <c r="F156" s="10" t="s">
        <v>483</v>
      </c>
      <c r="G156" t="s">
        <v>484</v>
      </c>
      <c r="H156" s="5">
        <v>-1191080</v>
      </c>
      <c r="I156" s="5">
        <v>-613069</v>
      </c>
      <c r="J156" s="5">
        <v>-675143</v>
      </c>
    </row>
    <row r="157" spans="1:10" x14ac:dyDescent="0.3">
      <c r="A157" t="s">
        <v>60</v>
      </c>
      <c r="B157" t="str">
        <f t="shared" si="8"/>
        <v>4</v>
      </c>
      <c r="C157" t="str">
        <f t="shared" si="9"/>
        <v>44</v>
      </c>
      <c r="D157" t="str">
        <f t="shared" si="10"/>
        <v>443</v>
      </c>
      <c r="E157" t="str">
        <f t="shared" si="11"/>
        <v>4431</v>
      </c>
      <c r="F157" s="10" t="s">
        <v>485</v>
      </c>
      <c r="G157" t="s">
        <v>486</v>
      </c>
      <c r="H157" s="5">
        <v>-2</v>
      </c>
      <c r="I157" s="5">
        <v>-2</v>
      </c>
      <c r="J157" s="5">
        <v>-4610</v>
      </c>
    </row>
    <row r="158" spans="1:10" x14ac:dyDescent="0.3">
      <c r="A158" t="s">
        <v>60</v>
      </c>
      <c r="B158" t="str">
        <f t="shared" si="8"/>
        <v>4</v>
      </c>
      <c r="C158" t="str">
        <f t="shared" si="9"/>
        <v>44</v>
      </c>
      <c r="D158" t="str">
        <f t="shared" si="10"/>
        <v>444</v>
      </c>
      <c r="E158" t="str">
        <f t="shared" si="11"/>
        <v>4441</v>
      </c>
      <c r="F158" s="10" t="s">
        <v>487</v>
      </c>
      <c r="G158" t="s">
        <v>488</v>
      </c>
      <c r="H158" s="5">
        <v>-293452533</v>
      </c>
      <c r="I158" s="5">
        <v>-303539004</v>
      </c>
      <c r="J158" s="5">
        <v>-148546943</v>
      </c>
    </row>
    <row r="159" spans="1:10" x14ac:dyDescent="0.3">
      <c r="A159" t="s">
        <v>60</v>
      </c>
      <c r="B159" t="str">
        <f t="shared" si="8"/>
        <v>4</v>
      </c>
      <c r="C159" t="str">
        <f t="shared" si="9"/>
        <v>44</v>
      </c>
      <c r="D159" t="str">
        <f t="shared" si="10"/>
        <v>447</v>
      </c>
      <c r="E159" t="str">
        <f t="shared" si="11"/>
        <v>4470</v>
      </c>
      <c r="F159" s="10" t="s">
        <v>489</v>
      </c>
      <c r="G159" t="s">
        <v>490</v>
      </c>
      <c r="H159" s="5">
        <v>-127293960</v>
      </c>
      <c r="I159" s="5">
        <v>-138822149</v>
      </c>
      <c r="J159" s="5">
        <v>-158754073</v>
      </c>
    </row>
    <row r="160" spans="1:10" x14ac:dyDescent="0.3">
      <c r="A160" t="s">
        <v>60</v>
      </c>
      <c r="B160" t="str">
        <f t="shared" si="8"/>
        <v>4</v>
      </c>
      <c r="C160" t="str">
        <f t="shared" si="9"/>
        <v>44</v>
      </c>
      <c r="D160" t="str">
        <f t="shared" si="10"/>
        <v>447</v>
      </c>
      <c r="E160" t="str">
        <f t="shared" si="11"/>
        <v>4471</v>
      </c>
      <c r="F160" s="10" t="s">
        <v>491</v>
      </c>
      <c r="G160" t="s">
        <v>492</v>
      </c>
      <c r="H160" s="5">
        <v>-10608625</v>
      </c>
      <c r="I160" s="5">
        <v>-8732454</v>
      </c>
      <c r="J160" s="5">
        <v>-10071621</v>
      </c>
    </row>
    <row r="161" spans="1:10" x14ac:dyDescent="0.3">
      <c r="A161" t="s">
        <v>60</v>
      </c>
      <c r="B161" t="str">
        <f t="shared" si="8"/>
        <v>4</v>
      </c>
      <c r="C161" t="str">
        <f t="shared" si="9"/>
        <v>44</v>
      </c>
      <c r="D161" t="str">
        <f t="shared" si="10"/>
        <v>447</v>
      </c>
      <c r="E161" t="str">
        <f t="shared" si="11"/>
        <v>4471</v>
      </c>
      <c r="F161" s="10" t="s">
        <v>493</v>
      </c>
      <c r="G161" t="s">
        <v>494</v>
      </c>
      <c r="H161" s="5">
        <v>27575</v>
      </c>
      <c r="I161" s="5">
        <v>27575</v>
      </c>
      <c r="J161" s="5">
        <v>27575</v>
      </c>
    </row>
    <row r="162" spans="1:10" x14ac:dyDescent="0.3">
      <c r="A162" t="s">
        <v>60</v>
      </c>
      <c r="B162" t="str">
        <f t="shared" si="8"/>
        <v>4</v>
      </c>
      <c r="C162" t="str">
        <f t="shared" si="9"/>
        <v>44</v>
      </c>
      <c r="D162" t="str">
        <f t="shared" si="10"/>
        <v>447</v>
      </c>
      <c r="E162" t="str">
        <f t="shared" si="11"/>
        <v>4472</v>
      </c>
      <c r="F162" s="10" t="s">
        <v>495</v>
      </c>
      <c r="G162" t="s">
        <v>496</v>
      </c>
      <c r="H162" s="5">
        <v>-56762206</v>
      </c>
      <c r="I162" s="5">
        <v>-1563432</v>
      </c>
      <c r="J162" s="5">
        <v>-13758168</v>
      </c>
    </row>
    <row r="163" spans="1:10" x14ac:dyDescent="0.3">
      <c r="A163" t="s">
        <v>60</v>
      </c>
      <c r="B163" t="str">
        <f t="shared" si="8"/>
        <v>4</v>
      </c>
      <c r="C163" t="str">
        <f t="shared" si="9"/>
        <v>44</v>
      </c>
      <c r="D163" t="str">
        <f t="shared" si="10"/>
        <v>447</v>
      </c>
      <c r="E163" t="str">
        <f t="shared" si="11"/>
        <v>4473</v>
      </c>
      <c r="F163" s="10" t="s">
        <v>497</v>
      </c>
      <c r="G163" t="s">
        <v>498</v>
      </c>
      <c r="H163" s="5">
        <v>468802</v>
      </c>
      <c r="I163" s="5">
        <v>-4528890</v>
      </c>
      <c r="J163" s="5">
        <v>-4470350</v>
      </c>
    </row>
    <row r="164" spans="1:10" x14ac:dyDescent="0.3">
      <c r="A164" t="s">
        <v>60</v>
      </c>
      <c r="B164" t="str">
        <f t="shared" si="8"/>
        <v>4</v>
      </c>
      <c r="C164" t="str">
        <f t="shared" si="9"/>
        <v>44</v>
      </c>
      <c r="D164" t="str">
        <f t="shared" si="10"/>
        <v>447</v>
      </c>
      <c r="E164" t="str">
        <f t="shared" si="11"/>
        <v>4473</v>
      </c>
      <c r="F164" s="10" t="s">
        <v>499</v>
      </c>
      <c r="G164" t="s">
        <v>500</v>
      </c>
      <c r="H164" s="5">
        <v>30598</v>
      </c>
      <c r="I164" s="5">
        <v>30598</v>
      </c>
      <c r="J164" s="5">
        <v>30598</v>
      </c>
    </row>
    <row r="165" spans="1:10" x14ac:dyDescent="0.3">
      <c r="A165" t="s">
        <v>60</v>
      </c>
      <c r="B165" t="str">
        <f t="shared" si="8"/>
        <v>4</v>
      </c>
      <c r="C165" t="str">
        <f t="shared" si="9"/>
        <v>44</v>
      </c>
      <c r="D165" t="str">
        <f t="shared" si="10"/>
        <v>447</v>
      </c>
      <c r="E165" t="str">
        <f t="shared" si="11"/>
        <v>4478</v>
      </c>
      <c r="F165" s="10" t="s">
        <v>501</v>
      </c>
      <c r="G165" t="s">
        <v>502</v>
      </c>
      <c r="H165" s="5">
        <v>-1685417</v>
      </c>
      <c r="I165" s="5">
        <v>-521144</v>
      </c>
      <c r="J165" s="5">
        <v>-661910</v>
      </c>
    </row>
    <row r="166" spans="1:10" x14ac:dyDescent="0.3">
      <c r="A166" t="s">
        <v>60</v>
      </c>
      <c r="B166" t="str">
        <f t="shared" si="8"/>
        <v>4</v>
      </c>
      <c r="C166" t="str">
        <f t="shared" si="9"/>
        <v>44</v>
      </c>
      <c r="D166" t="str">
        <f t="shared" si="10"/>
        <v>447</v>
      </c>
      <c r="E166" t="str">
        <f t="shared" si="11"/>
        <v>4478</v>
      </c>
      <c r="F166" s="10" t="s">
        <v>503</v>
      </c>
      <c r="G166" t="s">
        <v>504</v>
      </c>
      <c r="H166" s="5">
        <v>0</v>
      </c>
      <c r="I166" s="5">
        <v>0</v>
      </c>
      <c r="J166" s="5">
        <v>0</v>
      </c>
    </row>
    <row r="167" spans="1:10" x14ac:dyDescent="0.3">
      <c r="A167" t="s">
        <v>60</v>
      </c>
      <c r="B167" t="str">
        <f t="shared" si="8"/>
        <v>4</v>
      </c>
      <c r="C167" t="str">
        <f t="shared" si="9"/>
        <v>44</v>
      </c>
      <c r="D167" t="str">
        <f t="shared" si="10"/>
        <v>447</v>
      </c>
      <c r="E167" t="str">
        <f t="shared" si="11"/>
        <v>4478</v>
      </c>
      <c r="F167" s="10" t="s">
        <v>505</v>
      </c>
      <c r="G167" t="s">
        <v>506</v>
      </c>
      <c r="H167" s="5">
        <v>-3002068</v>
      </c>
      <c r="I167" s="5">
        <v>-781716</v>
      </c>
      <c r="J167" s="5">
        <v>-992732</v>
      </c>
    </row>
    <row r="168" spans="1:10" x14ac:dyDescent="0.3">
      <c r="A168" t="s">
        <v>60</v>
      </c>
      <c r="B168" t="str">
        <f t="shared" si="8"/>
        <v>4</v>
      </c>
      <c r="C168" t="str">
        <f t="shared" si="9"/>
        <v>44</v>
      </c>
      <c r="D168" t="str">
        <f t="shared" si="10"/>
        <v>447</v>
      </c>
      <c r="E168" t="str">
        <f t="shared" si="11"/>
        <v>4478</v>
      </c>
      <c r="F168" s="10" t="s">
        <v>507</v>
      </c>
      <c r="G168" t="s">
        <v>508</v>
      </c>
      <c r="H168" s="5">
        <v>-2414100</v>
      </c>
      <c r="I168" s="5">
        <v>-2414100</v>
      </c>
      <c r="J168" s="5">
        <v>-2414100</v>
      </c>
    </row>
    <row r="169" spans="1:10" x14ac:dyDescent="0.3">
      <c r="A169" t="s">
        <v>60</v>
      </c>
      <c r="B169" t="str">
        <f t="shared" si="8"/>
        <v>4</v>
      </c>
      <c r="C169" t="str">
        <f t="shared" si="9"/>
        <v>44</v>
      </c>
      <c r="D169" t="str">
        <f t="shared" si="10"/>
        <v>449</v>
      </c>
      <c r="E169" t="str">
        <f t="shared" si="11"/>
        <v>4499</v>
      </c>
      <c r="F169" s="10" t="s">
        <v>509</v>
      </c>
      <c r="G169" t="s">
        <v>510</v>
      </c>
      <c r="H169" s="5">
        <v>-29577534</v>
      </c>
      <c r="I169" s="5">
        <v>-19875</v>
      </c>
      <c r="J169" s="5">
        <v>-19875</v>
      </c>
    </row>
    <row r="170" spans="1:10" x14ac:dyDescent="0.3">
      <c r="A170" t="s">
        <v>64</v>
      </c>
      <c r="B170" t="str">
        <f t="shared" si="8"/>
        <v>4</v>
      </c>
      <c r="C170" t="str">
        <f t="shared" si="9"/>
        <v>46</v>
      </c>
      <c r="D170" t="str">
        <f t="shared" si="10"/>
        <v>466</v>
      </c>
      <c r="E170" t="str">
        <f t="shared" si="11"/>
        <v>4667</v>
      </c>
      <c r="F170" s="10" t="s">
        <v>511</v>
      </c>
      <c r="G170" t="s">
        <v>512</v>
      </c>
      <c r="H170" s="5">
        <v>1831475441</v>
      </c>
      <c r="I170" s="5">
        <v>2937702272</v>
      </c>
      <c r="J170" s="5">
        <v>4844952903</v>
      </c>
    </row>
    <row r="171" spans="1:10" x14ac:dyDescent="0.3">
      <c r="A171" t="s">
        <v>64</v>
      </c>
      <c r="B171" t="str">
        <f t="shared" si="8"/>
        <v>4</v>
      </c>
      <c r="C171" t="str">
        <f t="shared" si="9"/>
        <v>46</v>
      </c>
      <c r="D171" t="str">
        <f t="shared" si="10"/>
        <v>466</v>
      </c>
      <c r="E171" t="str">
        <f t="shared" si="11"/>
        <v>4668</v>
      </c>
      <c r="F171" s="10" t="s">
        <v>513</v>
      </c>
      <c r="G171" t="s">
        <v>514</v>
      </c>
      <c r="H171" s="5">
        <v>-2599282672</v>
      </c>
      <c r="I171" s="5">
        <v>-3199282672</v>
      </c>
      <c r="J171" s="5">
        <v>-3199282672</v>
      </c>
    </row>
    <row r="172" spans="1:10" x14ac:dyDescent="0.3">
      <c r="A172" t="s">
        <v>64</v>
      </c>
      <c r="B172" t="str">
        <f t="shared" si="8"/>
        <v>4</v>
      </c>
      <c r="C172" t="str">
        <f t="shared" si="9"/>
        <v>46</v>
      </c>
      <c r="D172" t="str">
        <f t="shared" si="10"/>
        <v>466</v>
      </c>
      <c r="E172" t="str">
        <f t="shared" si="11"/>
        <v>4669</v>
      </c>
      <c r="F172" s="10" t="s">
        <v>515</v>
      </c>
      <c r="G172" t="s">
        <v>516</v>
      </c>
      <c r="H172" s="5">
        <v>2406120000</v>
      </c>
      <c r="I172" s="5">
        <v>2474912000</v>
      </c>
      <c r="J172" s="5">
        <v>2164468500</v>
      </c>
    </row>
    <row r="173" spans="1:10" x14ac:dyDescent="0.3">
      <c r="A173" t="s">
        <v>64</v>
      </c>
      <c r="B173" t="str">
        <f t="shared" si="8"/>
        <v>4</v>
      </c>
      <c r="C173" t="str">
        <f t="shared" si="9"/>
        <v>46</v>
      </c>
      <c r="D173" t="str">
        <f t="shared" si="10"/>
        <v>466</v>
      </c>
      <c r="E173" t="str">
        <f t="shared" si="11"/>
        <v>4669</v>
      </c>
      <c r="F173" s="10" t="s">
        <v>517</v>
      </c>
      <c r="G173" t="s">
        <v>518</v>
      </c>
      <c r="H173" s="5">
        <v>0</v>
      </c>
      <c r="I173" s="5">
        <v>4361915</v>
      </c>
      <c r="J173" s="5">
        <v>58320543</v>
      </c>
    </row>
    <row r="174" spans="1:10" x14ac:dyDescent="0.3">
      <c r="A174" t="s">
        <v>62</v>
      </c>
      <c r="B174" t="str">
        <f t="shared" si="8"/>
        <v>4</v>
      </c>
      <c r="C174" t="str">
        <f t="shared" si="9"/>
        <v>47</v>
      </c>
      <c r="D174" t="str">
        <f t="shared" si="10"/>
        <v>471</v>
      </c>
      <c r="E174" t="str">
        <f t="shared" si="11"/>
        <v>4710</v>
      </c>
      <c r="F174" s="10" t="s">
        <v>519</v>
      </c>
      <c r="G174" t="s">
        <v>520</v>
      </c>
      <c r="H174" s="5">
        <v>-8569800</v>
      </c>
      <c r="I174" s="5">
        <v>-6150521</v>
      </c>
      <c r="J174" s="5">
        <v>-40657476</v>
      </c>
    </row>
    <row r="175" spans="1:10" x14ac:dyDescent="0.3">
      <c r="A175" t="s">
        <v>62</v>
      </c>
      <c r="B175" t="str">
        <f t="shared" si="8"/>
        <v>4</v>
      </c>
      <c r="C175" t="str">
        <f t="shared" si="9"/>
        <v>47</v>
      </c>
      <c r="D175" t="str">
        <f t="shared" si="10"/>
        <v>471</v>
      </c>
      <c r="E175" t="str">
        <f t="shared" si="11"/>
        <v>4710</v>
      </c>
      <c r="F175" s="10" t="s">
        <v>521</v>
      </c>
      <c r="G175" t="s">
        <v>522</v>
      </c>
      <c r="H175" s="5">
        <v>40000</v>
      </c>
      <c r="I175" s="5">
        <v>40000</v>
      </c>
      <c r="J175" s="5">
        <v>40000</v>
      </c>
    </row>
    <row r="176" spans="1:10" x14ac:dyDescent="0.3">
      <c r="A176" t="s">
        <v>62</v>
      </c>
      <c r="B176" t="str">
        <f t="shared" si="8"/>
        <v>4</v>
      </c>
      <c r="C176" t="str">
        <f t="shared" si="9"/>
        <v>47</v>
      </c>
      <c r="D176" t="str">
        <f t="shared" si="10"/>
        <v>471</v>
      </c>
      <c r="E176" t="str">
        <f t="shared" si="11"/>
        <v>4710</v>
      </c>
      <c r="F176" s="10" t="s">
        <v>523</v>
      </c>
      <c r="G176" t="s">
        <v>524</v>
      </c>
      <c r="H176" s="5">
        <v>40000</v>
      </c>
      <c r="I176" s="5">
        <v>40000</v>
      </c>
      <c r="J176" s="5">
        <v>0</v>
      </c>
    </row>
    <row r="177" spans="1:10" x14ac:dyDescent="0.3">
      <c r="A177" t="s">
        <v>62</v>
      </c>
      <c r="B177" t="str">
        <f t="shared" si="8"/>
        <v>4</v>
      </c>
      <c r="C177" t="str">
        <f t="shared" si="9"/>
        <v>47</v>
      </c>
      <c r="D177" t="str">
        <f t="shared" si="10"/>
        <v>471</v>
      </c>
      <c r="E177" t="str">
        <f t="shared" si="11"/>
        <v>4710</v>
      </c>
      <c r="F177" s="10" t="s">
        <v>525</v>
      </c>
      <c r="G177" t="s">
        <v>526</v>
      </c>
      <c r="H177" s="5">
        <v>40000</v>
      </c>
      <c r="I177" s="5">
        <v>40000</v>
      </c>
      <c r="J177" s="5">
        <v>40000</v>
      </c>
    </row>
    <row r="178" spans="1:10" x14ac:dyDescent="0.3">
      <c r="A178" t="s">
        <v>62</v>
      </c>
      <c r="B178" t="str">
        <f t="shared" si="8"/>
        <v>4</v>
      </c>
      <c r="C178" t="str">
        <f t="shared" si="9"/>
        <v>47</v>
      </c>
      <c r="D178" t="str">
        <f t="shared" si="10"/>
        <v>471</v>
      </c>
      <c r="E178" t="str">
        <f t="shared" si="11"/>
        <v>4710</v>
      </c>
      <c r="F178" s="10" t="s">
        <v>527</v>
      </c>
      <c r="G178" t="s">
        <v>528</v>
      </c>
      <c r="H178" s="5">
        <v>40000</v>
      </c>
      <c r="I178" s="5">
        <v>40000</v>
      </c>
      <c r="J178" s="5">
        <v>40000</v>
      </c>
    </row>
    <row r="179" spans="1:10" x14ac:dyDescent="0.3">
      <c r="A179" t="s">
        <v>62</v>
      </c>
      <c r="B179" t="str">
        <f t="shared" si="8"/>
        <v>4</v>
      </c>
      <c r="C179" t="str">
        <f t="shared" si="9"/>
        <v>47</v>
      </c>
      <c r="D179" t="str">
        <f t="shared" si="10"/>
        <v>471</v>
      </c>
      <c r="E179" t="str">
        <f t="shared" si="11"/>
        <v>4710</v>
      </c>
      <c r="F179" s="10" t="s">
        <v>529</v>
      </c>
      <c r="G179" t="s">
        <v>530</v>
      </c>
      <c r="H179" s="5">
        <v>40000</v>
      </c>
      <c r="I179" s="5">
        <v>40000</v>
      </c>
      <c r="J179" s="5">
        <v>40000</v>
      </c>
    </row>
    <row r="180" spans="1:10" x14ac:dyDescent="0.3">
      <c r="A180" t="s">
        <v>62</v>
      </c>
      <c r="B180" t="str">
        <f t="shared" si="8"/>
        <v>4</v>
      </c>
      <c r="C180" t="str">
        <f t="shared" si="9"/>
        <v>47</v>
      </c>
      <c r="D180" t="str">
        <f t="shared" si="10"/>
        <v>471</v>
      </c>
      <c r="E180" t="str">
        <f t="shared" si="11"/>
        <v>4710</v>
      </c>
      <c r="F180" s="10" t="s">
        <v>531</v>
      </c>
      <c r="G180" t="s">
        <v>532</v>
      </c>
      <c r="H180" s="5">
        <v>40000</v>
      </c>
      <c r="I180" s="5">
        <v>40000</v>
      </c>
      <c r="J180" s="5">
        <v>40000</v>
      </c>
    </row>
    <row r="181" spans="1:10" x14ac:dyDescent="0.3">
      <c r="A181" t="s">
        <v>62</v>
      </c>
      <c r="B181" t="str">
        <f t="shared" si="8"/>
        <v>4</v>
      </c>
      <c r="C181" t="str">
        <f t="shared" si="9"/>
        <v>47</v>
      </c>
      <c r="D181" t="str">
        <f t="shared" si="10"/>
        <v>471</v>
      </c>
      <c r="E181" t="str">
        <f t="shared" si="11"/>
        <v>4710</v>
      </c>
      <c r="F181" s="10" t="s">
        <v>533</v>
      </c>
      <c r="G181" t="s">
        <v>534</v>
      </c>
      <c r="H181" s="5">
        <v>40000</v>
      </c>
      <c r="I181" s="5">
        <v>40000</v>
      </c>
      <c r="J181" s="5">
        <v>40000</v>
      </c>
    </row>
    <row r="182" spans="1:10" x14ac:dyDescent="0.3">
      <c r="A182" t="s">
        <v>62</v>
      </c>
      <c r="B182" t="str">
        <f t="shared" si="8"/>
        <v>4</v>
      </c>
      <c r="C182" t="str">
        <f t="shared" si="9"/>
        <v>47</v>
      </c>
      <c r="D182" t="str">
        <f t="shared" si="10"/>
        <v>471</v>
      </c>
      <c r="E182" t="str">
        <f t="shared" si="11"/>
        <v>4710</v>
      </c>
      <c r="F182" s="10" t="s">
        <v>535</v>
      </c>
      <c r="G182" t="s">
        <v>536</v>
      </c>
      <c r="H182" s="5">
        <v>40000</v>
      </c>
      <c r="I182" s="5">
        <v>40000</v>
      </c>
      <c r="J182" s="5">
        <v>40000</v>
      </c>
    </row>
    <row r="183" spans="1:10" x14ac:dyDescent="0.3">
      <c r="A183" t="s">
        <v>62</v>
      </c>
      <c r="B183" t="str">
        <f t="shared" si="8"/>
        <v>4</v>
      </c>
      <c r="C183" t="str">
        <f t="shared" si="9"/>
        <v>47</v>
      </c>
      <c r="D183" t="str">
        <f t="shared" si="10"/>
        <v>471</v>
      </c>
      <c r="E183" t="str">
        <f t="shared" si="11"/>
        <v>4710</v>
      </c>
      <c r="F183" s="10" t="s">
        <v>537</v>
      </c>
      <c r="G183" t="s">
        <v>538</v>
      </c>
      <c r="H183" s="5">
        <v>40000</v>
      </c>
      <c r="I183" s="5">
        <v>40000</v>
      </c>
      <c r="J183" s="5">
        <v>40000</v>
      </c>
    </row>
    <row r="184" spans="1:10" x14ac:dyDescent="0.3">
      <c r="A184" t="s">
        <v>62</v>
      </c>
      <c r="B184" t="str">
        <f t="shared" si="8"/>
        <v>4</v>
      </c>
      <c r="C184" t="str">
        <f t="shared" si="9"/>
        <v>47</v>
      </c>
      <c r="D184" t="str">
        <f t="shared" si="10"/>
        <v>471</v>
      </c>
      <c r="E184" t="str">
        <f t="shared" si="11"/>
        <v>4710</v>
      </c>
      <c r="F184" s="10" t="s">
        <v>539</v>
      </c>
      <c r="G184" t="s">
        <v>540</v>
      </c>
      <c r="H184" s="5">
        <v>40000</v>
      </c>
      <c r="I184" s="5">
        <v>40000</v>
      </c>
      <c r="J184" s="5">
        <v>40000</v>
      </c>
    </row>
    <row r="185" spans="1:10" x14ac:dyDescent="0.3">
      <c r="A185" t="s">
        <v>62</v>
      </c>
      <c r="B185" t="str">
        <f t="shared" si="8"/>
        <v>4</v>
      </c>
      <c r="C185" t="str">
        <f t="shared" si="9"/>
        <v>47</v>
      </c>
      <c r="D185" t="str">
        <f t="shared" si="10"/>
        <v>471</v>
      </c>
      <c r="E185" t="str">
        <f t="shared" si="11"/>
        <v>4710</v>
      </c>
      <c r="F185" s="10" t="s">
        <v>541</v>
      </c>
      <c r="G185" t="s">
        <v>542</v>
      </c>
      <c r="H185" s="5">
        <v>40000</v>
      </c>
      <c r="I185" s="5">
        <v>40000</v>
      </c>
      <c r="J185" s="5">
        <v>40000</v>
      </c>
    </row>
    <row r="186" spans="1:10" x14ac:dyDescent="0.3">
      <c r="A186" t="s">
        <v>62</v>
      </c>
      <c r="B186" t="str">
        <f t="shared" si="8"/>
        <v>4</v>
      </c>
      <c r="C186" t="str">
        <f t="shared" si="9"/>
        <v>47</v>
      </c>
      <c r="D186" t="str">
        <f t="shared" si="10"/>
        <v>471</v>
      </c>
      <c r="E186" t="str">
        <f t="shared" si="11"/>
        <v>4710</v>
      </c>
      <c r="F186" s="10" t="s">
        <v>543</v>
      </c>
      <c r="G186" t="s">
        <v>544</v>
      </c>
      <c r="H186" s="5">
        <v>40000</v>
      </c>
      <c r="I186" s="5">
        <v>40000</v>
      </c>
      <c r="J186" s="5">
        <v>40000</v>
      </c>
    </row>
    <row r="187" spans="1:10" x14ac:dyDescent="0.3">
      <c r="A187" t="s">
        <v>62</v>
      </c>
      <c r="B187" t="str">
        <f t="shared" si="8"/>
        <v>4</v>
      </c>
      <c r="C187" t="str">
        <f t="shared" si="9"/>
        <v>47</v>
      </c>
      <c r="D187" t="str">
        <f t="shared" si="10"/>
        <v>471</v>
      </c>
      <c r="E187" t="str">
        <f t="shared" si="11"/>
        <v>4710</v>
      </c>
      <c r="F187" s="10" t="s">
        <v>545</v>
      </c>
      <c r="G187" t="s">
        <v>546</v>
      </c>
      <c r="H187" s="5">
        <v>40000</v>
      </c>
      <c r="I187" s="5">
        <v>40000</v>
      </c>
      <c r="J187" s="5">
        <v>40000</v>
      </c>
    </row>
    <row r="188" spans="1:10" x14ac:dyDescent="0.3">
      <c r="A188" t="s">
        <v>62</v>
      </c>
      <c r="B188" t="str">
        <f t="shared" si="8"/>
        <v>4</v>
      </c>
      <c r="C188" t="str">
        <f t="shared" si="9"/>
        <v>47</v>
      </c>
      <c r="D188" t="str">
        <f t="shared" si="10"/>
        <v>471</v>
      </c>
      <c r="E188" t="str">
        <f t="shared" si="11"/>
        <v>4710</v>
      </c>
      <c r="F188" s="10" t="s">
        <v>547</v>
      </c>
      <c r="G188" t="s">
        <v>548</v>
      </c>
      <c r="H188" s="5">
        <v>40000</v>
      </c>
      <c r="I188" s="5">
        <v>40000</v>
      </c>
      <c r="J188" s="5">
        <v>40000</v>
      </c>
    </row>
    <row r="189" spans="1:10" x14ac:dyDescent="0.3">
      <c r="A189" t="s">
        <v>62</v>
      </c>
      <c r="B189" t="str">
        <f t="shared" si="8"/>
        <v>4</v>
      </c>
      <c r="C189" t="str">
        <f t="shared" si="9"/>
        <v>47</v>
      </c>
      <c r="D189" t="str">
        <f t="shared" si="10"/>
        <v>471</v>
      </c>
      <c r="E189" t="str">
        <f t="shared" si="11"/>
        <v>4710</v>
      </c>
      <c r="F189" s="10" t="s">
        <v>549</v>
      </c>
      <c r="G189" t="s">
        <v>550</v>
      </c>
      <c r="H189" s="5">
        <v>40000</v>
      </c>
      <c r="I189" s="5">
        <v>40000</v>
      </c>
      <c r="J189" s="5">
        <v>40000</v>
      </c>
    </row>
    <row r="190" spans="1:10" x14ac:dyDescent="0.3">
      <c r="A190" t="s">
        <v>62</v>
      </c>
      <c r="B190" t="str">
        <f t="shared" si="8"/>
        <v>4</v>
      </c>
      <c r="C190" t="str">
        <f t="shared" si="9"/>
        <v>47</v>
      </c>
      <c r="D190" t="str">
        <f t="shared" si="10"/>
        <v>471</v>
      </c>
      <c r="E190" t="str">
        <f t="shared" si="11"/>
        <v>4710</v>
      </c>
      <c r="F190" s="10" t="s">
        <v>551</v>
      </c>
      <c r="G190" t="s">
        <v>552</v>
      </c>
      <c r="H190" s="5">
        <v>40000</v>
      </c>
      <c r="I190" s="5">
        <v>40000</v>
      </c>
      <c r="J190" s="5">
        <v>40000</v>
      </c>
    </row>
    <row r="191" spans="1:10" x14ac:dyDescent="0.3">
      <c r="A191" t="s">
        <v>62</v>
      </c>
      <c r="B191" t="str">
        <f t="shared" si="8"/>
        <v>4</v>
      </c>
      <c r="C191" t="str">
        <f t="shared" si="9"/>
        <v>47</v>
      </c>
      <c r="D191" t="str">
        <f t="shared" si="10"/>
        <v>471</v>
      </c>
      <c r="E191" t="str">
        <f t="shared" si="11"/>
        <v>4710</v>
      </c>
      <c r="F191" s="10" t="s">
        <v>553</v>
      </c>
      <c r="G191" t="s">
        <v>554</v>
      </c>
      <c r="H191" s="5">
        <v>40000</v>
      </c>
      <c r="I191" s="5">
        <v>40000</v>
      </c>
      <c r="J191" s="5">
        <v>40000</v>
      </c>
    </row>
    <row r="192" spans="1:10" x14ac:dyDescent="0.3">
      <c r="A192" t="s">
        <v>62</v>
      </c>
      <c r="B192" t="str">
        <f t="shared" si="8"/>
        <v>4</v>
      </c>
      <c r="C192" t="str">
        <f t="shared" si="9"/>
        <v>47</v>
      </c>
      <c r="D192" t="str">
        <f t="shared" si="10"/>
        <v>471</v>
      </c>
      <c r="E192" t="str">
        <f t="shared" si="11"/>
        <v>4710</v>
      </c>
      <c r="F192" s="10" t="s">
        <v>555</v>
      </c>
      <c r="G192" t="s">
        <v>556</v>
      </c>
      <c r="H192" s="5">
        <v>40000</v>
      </c>
      <c r="I192" s="5">
        <v>40000</v>
      </c>
      <c r="J192" s="5">
        <v>40000</v>
      </c>
    </row>
    <row r="193" spans="1:10" x14ac:dyDescent="0.3">
      <c r="A193" t="s">
        <v>62</v>
      </c>
      <c r="B193" t="str">
        <f t="shared" si="8"/>
        <v>4</v>
      </c>
      <c r="C193" t="str">
        <f t="shared" si="9"/>
        <v>47</v>
      </c>
      <c r="D193" t="str">
        <f t="shared" si="10"/>
        <v>471</v>
      </c>
      <c r="E193" t="str">
        <f t="shared" si="11"/>
        <v>4710</v>
      </c>
      <c r="F193" s="10" t="s">
        <v>557</v>
      </c>
      <c r="G193" t="s">
        <v>558</v>
      </c>
      <c r="H193" s="5">
        <v>40000</v>
      </c>
      <c r="I193" s="5">
        <v>40000</v>
      </c>
      <c r="J193" s="5">
        <v>40000</v>
      </c>
    </row>
    <row r="194" spans="1:10" x14ac:dyDescent="0.3">
      <c r="A194" t="s">
        <v>62</v>
      </c>
      <c r="B194" t="str">
        <f t="shared" ref="B194:B257" si="12">LEFT($F194,1)</f>
        <v>4</v>
      </c>
      <c r="C194" t="str">
        <f t="shared" ref="C194:C257" si="13">LEFT($F194,2)</f>
        <v>47</v>
      </c>
      <c r="D194" t="str">
        <f t="shared" ref="D194:D257" si="14">LEFT($F194,3)</f>
        <v>471</v>
      </c>
      <c r="E194" t="str">
        <f t="shared" ref="E194:E257" si="15">LEFT($F194,4)</f>
        <v>4710</v>
      </c>
      <c r="F194" s="10" t="s">
        <v>559</v>
      </c>
      <c r="G194" t="s">
        <v>560</v>
      </c>
      <c r="H194" s="5">
        <v>40000</v>
      </c>
      <c r="I194" s="5">
        <v>40000</v>
      </c>
      <c r="J194" s="5">
        <v>40000</v>
      </c>
    </row>
    <row r="195" spans="1:10" x14ac:dyDescent="0.3">
      <c r="A195" t="s">
        <v>62</v>
      </c>
      <c r="B195" t="str">
        <f t="shared" si="12"/>
        <v>4</v>
      </c>
      <c r="C195" t="str">
        <f t="shared" si="13"/>
        <v>47</v>
      </c>
      <c r="D195" t="str">
        <f t="shared" si="14"/>
        <v>471</v>
      </c>
      <c r="E195" t="str">
        <f t="shared" si="15"/>
        <v>4711</v>
      </c>
      <c r="F195" s="10" t="s">
        <v>561</v>
      </c>
      <c r="G195" t="s">
        <v>562</v>
      </c>
      <c r="H195" s="5">
        <v>-9688022</v>
      </c>
      <c r="I195" s="5">
        <v>5981466</v>
      </c>
      <c r="J195" s="5">
        <v>5981466</v>
      </c>
    </row>
    <row r="196" spans="1:10" x14ac:dyDescent="0.3">
      <c r="A196" t="s">
        <v>62</v>
      </c>
      <c r="B196" t="str">
        <f t="shared" si="12"/>
        <v>4</v>
      </c>
      <c r="C196" t="str">
        <f t="shared" si="13"/>
        <v>47</v>
      </c>
      <c r="D196" t="str">
        <f t="shared" si="14"/>
        <v>471</v>
      </c>
      <c r="E196" t="str">
        <f t="shared" si="15"/>
        <v>4711</v>
      </c>
      <c r="F196" s="10" t="s">
        <v>563</v>
      </c>
      <c r="G196" t="s">
        <v>564</v>
      </c>
      <c r="H196" s="5">
        <v>208446</v>
      </c>
      <c r="I196" s="5">
        <v>323798</v>
      </c>
      <c r="J196" s="5">
        <v>-1551999</v>
      </c>
    </row>
    <row r="197" spans="1:10" x14ac:dyDescent="0.3">
      <c r="A197" t="s">
        <v>62</v>
      </c>
      <c r="B197" t="str">
        <f t="shared" si="12"/>
        <v>4</v>
      </c>
      <c r="C197" t="str">
        <f t="shared" si="13"/>
        <v>47</v>
      </c>
      <c r="D197" t="str">
        <f t="shared" si="14"/>
        <v>471</v>
      </c>
      <c r="E197" t="str">
        <f t="shared" si="15"/>
        <v>4711</v>
      </c>
      <c r="F197" s="10" t="s">
        <v>565</v>
      </c>
      <c r="G197" t="s">
        <v>566</v>
      </c>
      <c r="H197" s="5">
        <v>993000</v>
      </c>
      <c r="I197" s="5">
        <v>0</v>
      </c>
      <c r="J197" s="5">
        <v>0</v>
      </c>
    </row>
    <row r="198" spans="1:10" x14ac:dyDescent="0.3">
      <c r="A198" t="s">
        <v>62</v>
      </c>
      <c r="B198" t="str">
        <f t="shared" si="12"/>
        <v>4</v>
      </c>
      <c r="C198" t="str">
        <f t="shared" si="13"/>
        <v>47</v>
      </c>
      <c r="D198" t="str">
        <f t="shared" si="14"/>
        <v>471</v>
      </c>
      <c r="E198" t="str">
        <f t="shared" si="15"/>
        <v>4711</v>
      </c>
      <c r="F198" s="10" t="s">
        <v>567</v>
      </c>
      <c r="G198" t="s">
        <v>568</v>
      </c>
      <c r="H198" s="5">
        <v>40000</v>
      </c>
      <c r="I198" s="5">
        <v>40000</v>
      </c>
      <c r="J198" s="5">
        <v>40000</v>
      </c>
    </row>
    <row r="199" spans="1:10" x14ac:dyDescent="0.3">
      <c r="A199" t="s">
        <v>62</v>
      </c>
      <c r="B199" t="str">
        <f t="shared" si="12"/>
        <v>4</v>
      </c>
      <c r="C199" t="str">
        <f t="shared" si="13"/>
        <v>47</v>
      </c>
      <c r="D199" t="str">
        <f t="shared" si="14"/>
        <v>471</v>
      </c>
      <c r="E199" t="str">
        <f t="shared" si="15"/>
        <v>4711</v>
      </c>
      <c r="F199" s="10" t="s">
        <v>569</v>
      </c>
      <c r="G199" t="s">
        <v>570</v>
      </c>
      <c r="H199" s="5">
        <v>40000</v>
      </c>
      <c r="I199" s="5">
        <v>40000</v>
      </c>
      <c r="J199" s="5">
        <v>40000</v>
      </c>
    </row>
    <row r="200" spans="1:10" x14ac:dyDescent="0.3">
      <c r="A200" t="s">
        <v>62</v>
      </c>
      <c r="B200" t="str">
        <f t="shared" si="12"/>
        <v>4</v>
      </c>
      <c r="C200" t="str">
        <f t="shared" si="13"/>
        <v>47</v>
      </c>
      <c r="D200" t="str">
        <f t="shared" si="14"/>
        <v>471</v>
      </c>
      <c r="E200" t="str">
        <f t="shared" si="15"/>
        <v>4711</v>
      </c>
      <c r="F200" s="10" t="s">
        <v>571</v>
      </c>
      <c r="G200" t="s">
        <v>572</v>
      </c>
      <c r="H200" s="5">
        <v>40000</v>
      </c>
      <c r="I200" s="5">
        <v>40000</v>
      </c>
      <c r="J200" s="5">
        <v>0</v>
      </c>
    </row>
    <row r="201" spans="1:10" x14ac:dyDescent="0.3">
      <c r="A201" t="s">
        <v>62</v>
      </c>
      <c r="B201" t="str">
        <f t="shared" si="12"/>
        <v>4</v>
      </c>
      <c r="C201" t="str">
        <f t="shared" si="13"/>
        <v>47</v>
      </c>
      <c r="D201" t="str">
        <f t="shared" si="14"/>
        <v>471</v>
      </c>
      <c r="E201" t="str">
        <f t="shared" si="15"/>
        <v>4711</v>
      </c>
      <c r="F201" s="10" t="s">
        <v>573</v>
      </c>
      <c r="G201" t="s">
        <v>574</v>
      </c>
      <c r="H201" s="5">
        <v>40000</v>
      </c>
      <c r="I201" s="5">
        <v>0</v>
      </c>
      <c r="J201" s="5">
        <v>0</v>
      </c>
    </row>
    <row r="202" spans="1:10" x14ac:dyDescent="0.3">
      <c r="A202" t="s">
        <v>62</v>
      </c>
      <c r="B202" t="str">
        <f t="shared" si="12"/>
        <v>4</v>
      </c>
      <c r="C202" t="str">
        <f t="shared" si="13"/>
        <v>47</v>
      </c>
      <c r="D202" t="str">
        <f t="shared" si="14"/>
        <v>471</v>
      </c>
      <c r="E202" t="str">
        <f t="shared" si="15"/>
        <v>4711</v>
      </c>
      <c r="F202" s="10" t="s">
        <v>575</v>
      </c>
      <c r="G202" t="s">
        <v>576</v>
      </c>
      <c r="H202" s="5">
        <v>40000</v>
      </c>
      <c r="I202" s="5">
        <v>40000</v>
      </c>
      <c r="J202" s="5">
        <v>40000</v>
      </c>
    </row>
    <row r="203" spans="1:10" x14ac:dyDescent="0.3">
      <c r="A203" t="s">
        <v>62</v>
      </c>
      <c r="B203" t="str">
        <f t="shared" si="12"/>
        <v>4</v>
      </c>
      <c r="C203" t="str">
        <f t="shared" si="13"/>
        <v>47</v>
      </c>
      <c r="D203" t="str">
        <f t="shared" si="14"/>
        <v>471</v>
      </c>
      <c r="E203" t="str">
        <f t="shared" si="15"/>
        <v>4712</v>
      </c>
      <c r="F203" s="10" t="s">
        <v>577</v>
      </c>
      <c r="G203" t="s">
        <v>578</v>
      </c>
      <c r="H203" s="5">
        <v>-15375</v>
      </c>
      <c r="I203" s="5">
        <v>0</v>
      </c>
      <c r="J203" s="5">
        <v>0</v>
      </c>
    </row>
    <row r="204" spans="1:10" x14ac:dyDescent="0.3">
      <c r="A204" t="s">
        <v>62</v>
      </c>
      <c r="B204" t="str">
        <f t="shared" si="12"/>
        <v>4</v>
      </c>
      <c r="C204" t="str">
        <f t="shared" si="13"/>
        <v>47</v>
      </c>
      <c r="D204" t="str">
        <f t="shared" si="14"/>
        <v>476</v>
      </c>
      <c r="E204" t="str">
        <f t="shared" si="15"/>
        <v>4762</v>
      </c>
      <c r="F204" s="10" t="s">
        <v>579</v>
      </c>
      <c r="G204" t="s">
        <v>580</v>
      </c>
      <c r="H204" s="5">
        <v>104751910</v>
      </c>
      <c r="I204" s="5">
        <v>62430742</v>
      </c>
      <c r="J204" s="5">
        <v>20109574</v>
      </c>
    </row>
    <row r="205" spans="1:10" x14ac:dyDescent="0.3">
      <c r="A205" t="s">
        <v>62</v>
      </c>
      <c r="B205" t="str">
        <f t="shared" si="12"/>
        <v>4</v>
      </c>
      <c r="C205" t="str">
        <f t="shared" si="13"/>
        <v>47</v>
      </c>
      <c r="D205" t="str">
        <f t="shared" si="14"/>
        <v>477</v>
      </c>
      <c r="E205" t="str">
        <f t="shared" si="15"/>
        <v>4777</v>
      </c>
      <c r="F205" s="10" t="s">
        <v>581</v>
      </c>
      <c r="G205" t="s">
        <v>582</v>
      </c>
      <c r="H205" s="5">
        <v>0</v>
      </c>
      <c r="I205" s="5">
        <v>0</v>
      </c>
      <c r="J205" s="5">
        <v>0</v>
      </c>
    </row>
    <row r="206" spans="1:10" x14ac:dyDescent="0.3">
      <c r="A206" t="s">
        <v>62</v>
      </c>
      <c r="B206" t="str">
        <f t="shared" si="12"/>
        <v>4</v>
      </c>
      <c r="C206" t="str">
        <f t="shared" si="13"/>
        <v>47</v>
      </c>
      <c r="D206" t="str">
        <f t="shared" si="14"/>
        <v>477</v>
      </c>
      <c r="E206" t="str">
        <f t="shared" si="15"/>
        <v>4777</v>
      </c>
      <c r="F206" s="10" t="s">
        <v>583</v>
      </c>
      <c r="G206" t="s">
        <v>584</v>
      </c>
      <c r="H206" s="5">
        <v>-3489035</v>
      </c>
      <c r="I206" s="5">
        <v>-4534398</v>
      </c>
      <c r="J206" s="5">
        <v>0</v>
      </c>
    </row>
    <row r="207" spans="1:10" x14ac:dyDescent="0.3">
      <c r="A207" t="s">
        <v>62</v>
      </c>
      <c r="B207" t="str">
        <f t="shared" si="12"/>
        <v>4</v>
      </c>
      <c r="C207" t="str">
        <f t="shared" si="13"/>
        <v>47</v>
      </c>
      <c r="D207" t="str">
        <f t="shared" si="14"/>
        <v>477</v>
      </c>
      <c r="E207" t="str">
        <f t="shared" si="15"/>
        <v>4777</v>
      </c>
      <c r="F207" s="10" t="s">
        <v>585</v>
      </c>
      <c r="G207" t="s">
        <v>586</v>
      </c>
      <c r="H207" s="5">
        <v>-226</v>
      </c>
      <c r="I207" s="5">
        <v>-226</v>
      </c>
      <c r="J207" s="5">
        <v>0</v>
      </c>
    </row>
    <row r="208" spans="1:10" x14ac:dyDescent="0.3">
      <c r="A208" t="s">
        <v>62</v>
      </c>
      <c r="B208" t="str">
        <f t="shared" si="12"/>
        <v>4</v>
      </c>
      <c r="C208" t="str">
        <f t="shared" si="13"/>
        <v>47</v>
      </c>
      <c r="D208" t="str">
        <f t="shared" si="14"/>
        <v>477</v>
      </c>
      <c r="E208" t="str">
        <f t="shared" si="15"/>
        <v>4777</v>
      </c>
      <c r="F208" s="10" t="s">
        <v>587</v>
      </c>
      <c r="G208" t="s">
        <v>588</v>
      </c>
      <c r="H208" s="5">
        <v>1313583</v>
      </c>
      <c r="I208" s="5">
        <v>873855</v>
      </c>
      <c r="J208" s="5">
        <v>0</v>
      </c>
    </row>
    <row r="209" spans="1:10" x14ac:dyDescent="0.3">
      <c r="A209" t="s">
        <v>62</v>
      </c>
      <c r="B209" t="str">
        <f t="shared" si="12"/>
        <v>4</v>
      </c>
      <c r="C209" t="str">
        <f t="shared" si="13"/>
        <v>47</v>
      </c>
      <c r="D209" t="str">
        <f t="shared" si="14"/>
        <v>477</v>
      </c>
      <c r="E209" t="str">
        <f t="shared" si="15"/>
        <v>4777</v>
      </c>
      <c r="F209" s="10" t="s">
        <v>589</v>
      </c>
      <c r="G209" t="s">
        <v>590</v>
      </c>
      <c r="H209" s="5">
        <v>-14109702</v>
      </c>
      <c r="I209" s="5">
        <v>-13957753</v>
      </c>
      <c r="J209" s="5">
        <v>0</v>
      </c>
    </row>
    <row r="210" spans="1:10" x14ac:dyDescent="0.3">
      <c r="A210" t="s">
        <v>62</v>
      </c>
      <c r="B210" t="str">
        <f t="shared" si="12"/>
        <v>4</v>
      </c>
      <c r="C210" t="str">
        <f t="shared" si="13"/>
        <v>47</v>
      </c>
      <c r="D210" t="str">
        <f t="shared" si="14"/>
        <v>477</v>
      </c>
      <c r="E210" t="str">
        <f t="shared" si="15"/>
        <v>4777</v>
      </c>
      <c r="F210" s="10" t="s">
        <v>591</v>
      </c>
      <c r="G210" t="s">
        <v>592</v>
      </c>
      <c r="H210" s="5">
        <v>-11959446</v>
      </c>
      <c r="I210" s="5">
        <v>-10609028</v>
      </c>
      <c r="J210" s="5">
        <v>0</v>
      </c>
    </row>
    <row r="211" spans="1:10" x14ac:dyDescent="0.3">
      <c r="A211" t="s">
        <v>62</v>
      </c>
      <c r="B211" t="str">
        <f t="shared" si="12"/>
        <v>4</v>
      </c>
      <c r="C211" t="str">
        <f t="shared" si="13"/>
        <v>47</v>
      </c>
      <c r="D211" t="str">
        <f t="shared" si="14"/>
        <v>477</v>
      </c>
      <c r="E211" t="str">
        <f t="shared" si="15"/>
        <v>4777</v>
      </c>
      <c r="F211" s="10" t="s">
        <v>593</v>
      </c>
      <c r="G211" t="s">
        <v>594</v>
      </c>
      <c r="H211" s="5">
        <v>10106765</v>
      </c>
      <c r="I211" s="5">
        <v>-6217319</v>
      </c>
      <c r="J211" s="5">
        <v>0</v>
      </c>
    </row>
    <row r="212" spans="1:10" x14ac:dyDescent="0.3">
      <c r="A212" t="s">
        <v>62</v>
      </c>
      <c r="B212" t="str">
        <f t="shared" si="12"/>
        <v>4</v>
      </c>
      <c r="C212" t="str">
        <f t="shared" si="13"/>
        <v>47</v>
      </c>
      <c r="D212" t="str">
        <f t="shared" si="14"/>
        <v>477</v>
      </c>
      <c r="E212" t="str">
        <f t="shared" si="15"/>
        <v>4777</v>
      </c>
      <c r="F212" s="10" t="s">
        <v>595</v>
      </c>
      <c r="G212" t="s">
        <v>596</v>
      </c>
      <c r="H212" s="5">
        <v>-11222877</v>
      </c>
      <c r="I212" s="5">
        <v>-1143792</v>
      </c>
      <c r="J212" s="5">
        <v>0</v>
      </c>
    </row>
    <row r="213" spans="1:10" x14ac:dyDescent="0.3">
      <c r="A213" t="s">
        <v>62</v>
      </c>
      <c r="B213" t="str">
        <f t="shared" si="12"/>
        <v>4</v>
      </c>
      <c r="C213" t="str">
        <f t="shared" si="13"/>
        <v>47</v>
      </c>
      <c r="D213" t="str">
        <f t="shared" si="14"/>
        <v>477</v>
      </c>
      <c r="E213" t="str">
        <f t="shared" si="15"/>
        <v>4777</v>
      </c>
      <c r="F213" s="10" t="s">
        <v>597</v>
      </c>
      <c r="G213" t="s">
        <v>598</v>
      </c>
      <c r="H213" s="5">
        <v>-11426160</v>
      </c>
      <c r="I213" s="5">
        <v>-12650185</v>
      </c>
      <c r="J213" s="5">
        <v>0</v>
      </c>
    </row>
    <row r="214" spans="1:10" x14ac:dyDescent="0.3">
      <c r="A214" t="s">
        <v>62</v>
      </c>
      <c r="B214" t="str">
        <f t="shared" si="12"/>
        <v>4</v>
      </c>
      <c r="C214" t="str">
        <f t="shared" si="13"/>
        <v>47</v>
      </c>
      <c r="D214" t="str">
        <f t="shared" si="14"/>
        <v>477</v>
      </c>
      <c r="E214" t="str">
        <f t="shared" si="15"/>
        <v>4777</v>
      </c>
      <c r="F214" s="10" t="s">
        <v>599</v>
      </c>
      <c r="G214" t="s">
        <v>600</v>
      </c>
      <c r="H214" s="5">
        <v>-367148</v>
      </c>
      <c r="I214" s="5">
        <v>21685</v>
      </c>
      <c r="J214" s="5">
        <v>0</v>
      </c>
    </row>
    <row r="215" spans="1:10" x14ac:dyDescent="0.3">
      <c r="A215" t="s">
        <v>62</v>
      </c>
      <c r="B215" t="str">
        <f t="shared" si="12"/>
        <v>4</v>
      </c>
      <c r="C215" t="str">
        <f t="shared" si="13"/>
        <v>47</v>
      </c>
      <c r="D215" t="str">
        <f t="shared" si="14"/>
        <v>477</v>
      </c>
      <c r="E215" t="str">
        <f t="shared" si="15"/>
        <v>4777</v>
      </c>
      <c r="F215" s="10" t="s">
        <v>601</v>
      </c>
      <c r="G215" t="s">
        <v>602</v>
      </c>
      <c r="H215" s="5">
        <v>-44120498</v>
      </c>
      <c r="I215" s="5">
        <v>-29045359</v>
      </c>
      <c r="J215" s="5">
        <v>0</v>
      </c>
    </row>
    <row r="216" spans="1:10" x14ac:dyDescent="0.3">
      <c r="A216" t="s">
        <v>62</v>
      </c>
      <c r="B216" t="str">
        <f t="shared" si="12"/>
        <v>4</v>
      </c>
      <c r="C216" t="str">
        <f t="shared" si="13"/>
        <v>47</v>
      </c>
      <c r="D216" t="str">
        <f t="shared" si="14"/>
        <v>477</v>
      </c>
      <c r="E216" t="str">
        <f t="shared" si="15"/>
        <v>4777</v>
      </c>
      <c r="F216" s="10" t="s">
        <v>603</v>
      </c>
      <c r="G216" t="s">
        <v>604</v>
      </c>
      <c r="H216" s="5">
        <v>-19724457</v>
      </c>
      <c r="I216" s="5">
        <v>-3580600</v>
      </c>
      <c r="J216" s="5">
        <v>0</v>
      </c>
    </row>
    <row r="217" spans="1:10" x14ac:dyDescent="0.3">
      <c r="A217" t="s">
        <v>53</v>
      </c>
      <c r="B217" t="str">
        <f t="shared" si="12"/>
        <v>4</v>
      </c>
      <c r="C217" t="str">
        <f t="shared" si="13"/>
        <v>49</v>
      </c>
      <c r="D217" t="str">
        <f t="shared" si="14"/>
        <v>491</v>
      </c>
      <c r="E217" t="str">
        <f t="shared" si="15"/>
        <v>4912</v>
      </c>
      <c r="F217" s="10" t="s">
        <v>605</v>
      </c>
      <c r="G217" t="s">
        <v>606</v>
      </c>
      <c r="H217" s="5">
        <v>0</v>
      </c>
      <c r="I217" s="5">
        <v>-135614987</v>
      </c>
      <c r="J217" s="5">
        <v>-135614987</v>
      </c>
    </row>
    <row r="218" spans="1:10" x14ac:dyDescent="0.3">
      <c r="A218" t="s">
        <v>70</v>
      </c>
      <c r="B218" t="str">
        <f t="shared" si="12"/>
        <v>4</v>
      </c>
      <c r="C218" t="str">
        <f t="shared" si="13"/>
        <v>49</v>
      </c>
      <c r="D218" t="str">
        <f t="shared" si="14"/>
        <v>499</v>
      </c>
      <c r="E218" t="str">
        <f t="shared" si="15"/>
        <v>4991</v>
      </c>
      <c r="F218" s="10" t="s">
        <v>607</v>
      </c>
      <c r="G218" t="s">
        <v>608</v>
      </c>
      <c r="H218" s="5">
        <v>-8623752</v>
      </c>
      <c r="I218" s="5">
        <v>-8623752</v>
      </c>
      <c r="J218" s="5">
        <v>-8623752</v>
      </c>
    </row>
    <row r="219" spans="1:10" x14ac:dyDescent="0.3">
      <c r="A219" t="s">
        <v>72</v>
      </c>
      <c r="B219" t="str">
        <f t="shared" si="12"/>
        <v>5</v>
      </c>
      <c r="C219" t="str">
        <f t="shared" si="13"/>
        <v>51</v>
      </c>
      <c r="D219" t="str">
        <f t="shared" si="14"/>
        <v>513</v>
      </c>
      <c r="E219" t="str">
        <f t="shared" si="15"/>
        <v>5131</v>
      </c>
      <c r="F219" s="10" t="s">
        <v>609</v>
      </c>
      <c r="G219" t="s">
        <v>610</v>
      </c>
      <c r="H219" s="5">
        <v>27840000</v>
      </c>
      <c r="I219" s="5">
        <v>0</v>
      </c>
      <c r="J219" s="5">
        <v>58979904</v>
      </c>
    </row>
    <row r="220" spans="1:10" x14ac:dyDescent="0.3">
      <c r="A220" t="s">
        <v>72</v>
      </c>
      <c r="B220" t="str">
        <f t="shared" si="12"/>
        <v>5</v>
      </c>
      <c r="C220" t="str">
        <f t="shared" si="13"/>
        <v>51</v>
      </c>
      <c r="D220" t="str">
        <f t="shared" si="14"/>
        <v>514</v>
      </c>
      <c r="E220" t="str">
        <f t="shared" si="15"/>
        <v>5141</v>
      </c>
      <c r="F220" s="10" t="s">
        <v>611</v>
      </c>
      <c r="G220" t="s">
        <v>612</v>
      </c>
      <c r="H220" s="5">
        <v>0</v>
      </c>
      <c r="I220" s="5">
        <v>0</v>
      </c>
      <c r="J220" s="5">
        <v>-58979904</v>
      </c>
    </row>
    <row r="221" spans="1:10" x14ac:dyDescent="0.3">
      <c r="A221" t="s">
        <v>72</v>
      </c>
      <c r="B221" t="str">
        <f t="shared" si="12"/>
        <v>5</v>
      </c>
      <c r="C221" t="str">
        <f t="shared" si="13"/>
        <v>52</v>
      </c>
      <c r="D221" t="str">
        <f t="shared" si="14"/>
        <v>521</v>
      </c>
      <c r="E221" t="str">
        <f t="shared" si="15"/>
        <v>5210</v>
      </c>
      <c r="F221" s="10" t="s">
        <v>613</v>
      </c>
      <c r="G221" t="s">
        <v>614</v>
      </c>
      <c r="H221" s="5">
        <v>4205715</v>
      </c>
      <c r="I221" s="5">
        <v>-26955672</v>
      </c>
      <c r="J221" s="5">
        <v>-360003630</v>
      </c>
    </row>
    <row r="222" spans="1:10" x14ac:dyDescent="0.3">
      <c r="A222" t="s">
        <v>72</v>
      </c>
      <c r="B222" t="str">
        <f t="shared" si="12"/>
        <v>5</v>
      </c>
      <c r="C222" t="str">
        <f t="shared" si="13"/>
        <v>52</v>
      </c>
      <c r="D222" t="str">
        <f t="shared" si="14"/>
        <v>521</v>
      </c>
      <c r="E222" t="str">
        <f t="shared" si="15"/>
        <v>5210</v>
      </c>
      <c r="F222" s="10" t="s">
        <v>615</v>
      </c>
      <c r="G222" t="s">
        <v>616</v>
      </c>
      <c r="H222" s="5">
        <v>185134602</v>
      </c>
      <c r="I222" s="5">
        <v>425909795</v>
      </c>
      <c r="J222" s="5">
        <v>433728458</v>
      </c>
    </row>
    <row r="223" spans="1:10" x14ac:dyDescent="0.3">
      <c r="A223" t="s">
        <v>72</v>
      </c>
      <c r="B223" t="str">
        <f t="shared" si="12"/>
        <v>5</v>
      </c>
      <c r="C223" t="str">
        <f t="shared" si="13"/>
        <v>52</v>
      </c>
      <c r="D223" t="str">
        <f t="shared" si="14"/>
        <v>521</v>
      </c>
      <c r="E223" t="str">
        <f t="shared" si="15"/>
        <v>5210</v>
      </c>
      <c r="F223" s="10" t="s">
        <v>617</v>
      </c>
      <c r="G223" t="s">
        <v>618</v>
      </c>
      <c r="H223" s="5">
        <v>156995005</v>
      </c>
      <c r="I223" s="5">
        <v>385631375</v>
      </c>
      <c r="J223" s="5">
        <v>500659173</v>
      </c>
    </row>
    <row r="224" spans="1:10" x14ac:dyDescent="0.3">
      <c r="A224" t="s">
        <v>72</v>
      </c>
      <c r="B224" t="str">
        <f t="shared" si="12"/>
        <v>5</v>
      </c>
      <c r="C224" t="str">
        <f t="shared" si="13"/>
        <v>52</v>
      </c>
      <c r="D224" t="str">
        <f t="shared" si="14"/>
        <v>521</v>
      </c>
      <c r="E224" t="str">
        <f t="shared" si="15"/>
        <v>5210</v>
      </c>
      <c r="F224" s="10" t="s">
        <v>619</v>
      </c>
      <c r="G224" t="s">
        <v>620</v>
      </c>
      <c r="H224" s="5">
        <v>-68310</v>
      </c>
      <c r="I224" s="5">
        <v>-68310</v>
      </c>
      <c r="J224" s="5">
        <v>-68310</v>
      </c>
    </row>
    <row r="225" spans="1:10" x14ac:dyDescent="0.3">
      <c r="A225" t="s">
        <v>72</v>
      </c>
      <c r="B225" t="str">
        <f t="shared" si="12"/>
        <v>5</v>
      </c>
      <c r="C225" t="str">
        <f t="shared" si="13"/>
        <v>52</v>
      </c>
      <c r="D225" t="str">
        <f t="shared" si="14"/>
        <v>521</v>
      </c>
      <c r="E225" t="str">
        <f t="shared" si="15"/>
        <v>5211</v>
      </c>
      <c r="F225" s="10" t="s">
        <v>621</v>
      </c>
      <c r="G225" t="s">
        <v>622</v>
      </c>
      <c r="H225" s="5">
        <v>-159780053</v>
      </c>
      <c r="I225" s="5">
        <v>-189909774</v>
      </c>
      <c r="J225" s="5">
        <v>-194812941</v>
      </c>
    </row>
    <row r="226" spans="1:10" x14ac:dyDescent="0.3">
      <c r="A226" t="s">
        <v>72</v>
      </c>
      <c r="B226" t="str">
        <f t="shared" si="12"/>
        <v>5</v>
      </c>
      <c r="C226" t="str">
        <f t="shared" si="13"/>
        <v>52</v>
      </c>
      <c r="D226" t="str">
        <f t="shared" si="14"/>
        <v>521</v>
      </c>
      <c r="E226" t="str">
        <f t="shared" si="15"/>
        <v>5211</v>
      </c>
      <c r="F226" s="10" t="s">
        <v>623</v>
      </c>
      <c r="G226" t="s">
        <v>624</v>
      </c>
      <c r="H226" s="5">
        <v>0</v>
      </c>
      <c r="I226" s="5">
        <v>61825000</v>
      </c>
      <c r="J226" s="5">
        <v>0</v>
      </c>
    </row>
    <row r="227" spans="1:10" x14ac:dyDescent="0.3">
      <c r="A227" t="s">
        <v>72</v>
      </c>
      <c r="B227" t="str">
        <f t="shared" si="12"/>
        <v>5</v>
      </c>
      <c r="C227" t="str">
        <f t="shared" si="13"/>
        <v>52</v>
      </c>
      <c r="D227" t="str">
        <f t="shared" si="14"/>
        <v>521</v>
      </c>
      <c r="E227" t="str">
        <f t="shared" si="15"/>
        <v>5212</v>
      </c>
      <c r="F227" s="10" t="s">
        <v>625</v>
      </c>
      <c r="G227" t="s">
        <v>626</v>
      </c>
      <c r="H227" s="5">
        <v>-109047173</v>
      </c>
      <c r="I227" s="5">
        <v>-9520385</v>
      </c>
      <c r="J227" s="5">
        <v>-302586499</v>
      </c>
    </row>
    <row r="228" spans="1:10" x14ac:dyDescent="0.3">
      <c r="A228" t="s">
        <v>72</v>
      </c>
      <c r="B228" t="str">
        <f t="shared" si="12"/>
        <v>5</v>
      </c>
      <c r="C228" t="str">
        <f t="shared" si="13"/>
        <v>52</v>
      </c>
      <c r="D228" t="str">
        <f t="shared" si="14"/>
        <v>521</v>
      </c>
      <c r="E228" t="str">
        <f t="shared" si="15"/>
        <v>5214</v>
      </c>
      <c r="F228" s="10" t="s">
        <v>627</v>
      </c>
      <c r="G228" t="s">
        <v>628</v>
      </c>
      <c r="H228" s="5">
        <v>-245282613</v>
      </c>
      <c r="I228" s="5">
        <v>-424997207</v>
      </c>
      <c r="J228" s="5">
        <v>-462796511</v>
      </c>
    </row>
    <row r="229" spans="1:10" x14ac:dyDescent="0.3">
      <c r="A229" t="s">
        <v>72</v>
      </c>
      <c r="B229" t="str">
        <f t="shared" si="12"/>
        <v>5</v>
      </c>
      <c r="C229" t="str">
        <f t="shared" si="13"/>
        <v>52</v>
      </c>
      <c r="D229" t="str">
        <f t="shared" si="14"/>
        <v>521</v>
      </c>
      <c r="E229" t="str">
        <f t="shared" si="15"/>
        <v>5214</v>
      </c>
      <c r="F229" s="10" t="s">
        <v>629</v>
      </c>
      <c r="G229" t="s">
        <v>630</v>
      </c>
      <c r="H229" s="5">
        <v>2349872</v>
      </c>
      <c r="I229" s="5">
        <v>4354763</v>
      </c>
      <c r="J229" s="5">
        <v>1104655</v>
      </c>
    </row>
    <row r="230" spans="1:10" x14ac:dyDescent="0.3">
      <c r="A230" t="s">
        <v>72</v>
      </c>
      <c r="B230" t="str">
        <f t="shared" si="12"/>
        <v>5</v>
      </c>
      <c r="C230" t="str">
        <f t="shared" si="13"/>
        <v>52</v>
      </c>
      <c r="D230" t="str">
        <f t="shared" si="14"/>
        <v>521</v>
      </c>
      <c r="E230" t="str">
        <f t="shared" si="15"/>
        <v>5214</v>
      </c>
      <c r="F230" s="10" t="s">
        <v>631</v>
      </c>
      <c r="G230" t="s">
        <v>632</v>
      </c>
      <c r="H230" s="5">
        <v>10822271</v>
      </c>
      <c r="I230" s="5">
        <v>14838803</v>
      </c>
      <c r="J230" s="5">
        <v>6186837</v>
      </c>
    </row>
    <row r="231" spans="1:10" x14ac:dyDescent="0.3">
      <c r="A231" t="s">
        <v>72</v>
      </c>
      <c r="B231" t="str">
        <f t="shared" si="12"/>
        <v>5</v>
      </c>
      <c r="C231" t="str">
        <f t="shared" si="13"/>
        <v>52</v>
      </c>
      <c r="D231" t="str">
        <f t="shared" si="14"/>
        <v>521</v>
      </c>
      <c r="E231" t="str">
        <f t="shared" si="15"/>
        <v>5214</v>
      </c>
      <c r="F231" s="10" t="s">
        <v>633</v>
      </c>
      <c r="G231" t="s">
        <v>634</v>
      </c>
      <c r="H231" s="5">
        <v>300000</v>
      </c>
      <c r="I231" s="5">
        <v>300000</v>
      </c>
      <c r="J231" s="5">
        <v>300000</v>
      </c>
    </row>
    <row r="232" spans="1:10" x14ac:dyDescent="0.3">
      <c r="A232" t="s">
        <v>72</v>
      </c>
      <c r="B232" t="str">
        <f t="shared" si="12"/>
        <v>5</v>
      </c>
      <c r="C232" t="str">
        <f t="shared" si="13"/>
        <v>52</v>
      </c>
      <c r="D232" t="str">
        <f t="shared" si="14"/>
        <v>521</v>
      </c>
      <c r="E232" t="str">
        <f t="shared" si="15"/>
        <v>5214</v>
      </c>
      <c r="F232" s="10" t="s">
        <v>635</v>
      </c>
      <c r="G232" t="s">
        <v>636</v>
      </c>
      <c r="H232" s="5">
        <v>2704579</v>
      </c>
      <c r="I232" s="5">
        <v>3342059</v>
      </c>
      <c r="J232" s="5">
        <v>4225180</v>
      </c>
    </row>
    <row r="233" spans="1:10" x14ac:dyDescent="0.3">
      <c r="A233" t="s">
        <v>72</v>
      </c>
      <c r="B233" t="str">
        <f t="shared" si="12"/>
        <v>5</v>
      </c>
      <c r="C233" t="str">
        <f t="shared" si="13"/>
        <v>52</v>
      </c>
      <c r="D233" t="str">
        <f t="shared" si="14"/>
        <v>521</v>
      </c>
      <c r="E233" t="str">
        <f t="shared" si="15"/>
        <v>5215</v>
      </c>
      <c r="F233" s="10" t="s">
        <v>637</v>
      </c>
      <c r="G233" t="s">
        <v>638</v>
      </c>
      <c r="H233" s="5">
        <v>-243342779</v>
      </c>
      <c r="I233" s="5">
        <v>850365926</v>
      </c>
      <c r="J233" s="5">
        <v>-467476442</v>
      </c>
    </row>
    <row r="234" spans="1:10" x14ac:dyDescent="0.3">
      <c r="A234" t="s">
        <v>72</v>
      </c>
      <c r="B234" t="str">
        <f t="shared" si="12"/>
        <v>5</v>
      </c>
      <c r="C234" t="str">
        <f t="shared" si="13"/>
        <v>52</v>
      </c>
      <c r="D234" t="str">
        <f t="shared" si="14"/>
        <v>521</v>
      </c>
      <c r="E234" t="str">
        <f t="shared" si="15"/>
        <v>5215</v>
      </c>
      <c r="F234" s="10" t="s">
        <v>639</v>
      </c>
      <c r="G234" t="s">
        <v>640</v>
      </c>
      <c r="H234" s="5">
        <v>0</v>
      </c>
      <c r="I234" s="5">
        <v>0</v>
      </c>
      <c r="J234" s="5">
        <v>0</v>
      </c>
    </row>
    <row r="235" spans="1:10" x14ac:dyDescent="0.3">
      <c r="A235" t="s">
        <v>72</v>
      </c>
      <c r="B235" t="str">
        <f t="shared" si="12"/>
        <v>5</v>
      </c>
      <c r="C235" t="str">
        <f t="shared" si="13"/>
        <v>52</v>
      </c>
      <c r="D235" t="str">
        <f t="shared" si="14"/>
        <v>521</v>
      </c>
      <c r="E235" t="str">
        <f t="shared" si="15"/>
        <v>5215</v>
      </c>
      <c r="F235" s="10" t="s">
        <v>641</v>
      </c>
      <c r="G235" t="s">
        <v>642</v>
      </c>
      <c r="H235" s="5">
        <v>0</v>
      </c>
      <c r="I235" s="5">
        <v>0</v>
      </c>
      <c r="J235" s="5">
        <v>0</v>
      </c>
    </row>
    <row r="236" spans="1:10" x14ac:dyDescent="0.3">
      <c r="A236" t="s">
        <v>72</v>
      </c>
      <c r="B236" t="str">
        <f t="shared" si="12"/>
        <v>5</v>
      </c>
      <c r="C236" t="str">
        <f t="shared" si="13"/>
        <v>52</v>
      </c>
      <c r="D236" t="str">
        <f t="shared" si="14"/>
        <v>521</v>
      </c>
      <c r="E236" t="str">
        <f t="shared" si="15"/>
        <v>5215</v>
      </c>
      <c r="F236" s="10" t="s">
        <v>643</v>
      </c>
      <c r="G236" t="s">
        <v>644</v>
      </c>
      <c r="H236" s="5">
        <v>5462666</v>
      </c>
      <c r="I236" s="5">
        <v>2561181</v>
      </c>
      <c r="J236" s="5">
        <v>2165181</v>
      </c>
    </row>
    <row r="237" spans="1:10" x14ac:dyDescent="0.3">
      <c r="A237" t="s">
        <v>72</v>
      </c>
      <c r="B237" t="str">
        <f t="shared" si="12"/>
        <v>5</v>
      </c>
      <c r="C237" t="str">
        <f t="shared" si="13"/>
        <v>52</v>
      </c>
      <c r="D237" t="str">
        <f t="shared" si="14"/>
        <v>521</v>
      </c>
      <c r="E237" t="str">
        <f t="shared" si="15"/>
        <v>5216</v>
      </c>
      <c r="F237" s="10" t="s">
        <v>645</v>
      </c>
      <c r="G237" t="s">
        <v>646</v>
      </c>
      <c r="H237" s="5">
        <v>0</v>
      </c>
      <c r="I237" s="5">
        <v>0</v>
      </c>
      <c r="J237" s="5">
        <v>0</v>
      </c>
    </row>
    <row r="238" spans="1:10" x14ac:dyDescent="0.3">
      <c r="A238" t="s">
        <v>72</v>
      </c>
      <c r="B238" t="str">
        <f t="shared" si="12"/>
        <v>5</v>
      </c>
      <c r="C238" t="str">
        <f t="shared" si="13"/>
        <v>52</v>
      </c>
      <c r="D238" t="str">
        <f t="shared" si="14"/>
        <v>521</v>
      </c>
      <c r="E238" t="str">
        <f t="shared" si="15"/>
        <v>5217</v>
      </c>
      <c r="F238" s="10" t="s">
        <v>647</v>
      </c>
      <c r="G238" t="s">
        <v>648</v>
      </c>
      <c r="H238" s="5">
        <v>0</v>
      </c>
      <c r="I238" s="5">
        <v>0</v>
      </c>
      <c r="J238" s="5">
        <v>0</v>
      </c>
    </row>
    <row r="239" spans="1:10" x14ac:dyDescent="0.3">
      <c r="A239" t="s">
        <v>72</v>
      </c>
      <c r="B239" t="str">
        <f t="shared" si="12"/>
        <v>5</v>
      </c>
      <c r="C239" t="str">
        <f t="shared" si="13"/>
        <v>52</v>
      </c>
      <c r="D239" t="str">
        <f t="shared" si="14"/>
        <v>521</v>
      </c>
      <c r="E239" t="str">
        <f t="shared" si="15"/>
        <v>5218</v>
      </c>
      <c r="F239" s="10" t="s">
        <v>649</v>
      </c>
      <c r="G239" t="s">
        <v>650</v>
      </c>
      <c r="H239" s="5">
        <v>-1910599</v>
      </c>
      <c r="I239" s="5">
        <v>-1910599</v>
      </c>
      <c r="J239" s="5">
        <v>-1910599</v>
      </c>
    </row>
    <row r="240" spans="1:10" x14ac:dyDescent="0.3">
      <c r="A240" t="s">
        <v>72</v>
      </c>
      <c r="B240" t="str">
        <f t="shared" si="12"/>
        <v>5</v>
      </c>
      <c r="C240" t="str">
        <f t="shared" si="13"/>
        <v>52</v>
      </c>
      <c r="D240" t="str">
        <f t="shared" si="14"/>
        <v>521</v>
      </c>
      <c r="E240" t="str">
        <f t="shared" si="15"/>
        <v>5218</v>
      </c>
      <c r="F240" s="10" t="s">
        <v>651</v>
      </c>
      <c r="G240" t="s">
        <v>652</v>
      </c>
      <c r="H240" s="5">
        <v>0</v>
      </c>
      <c r="I240" s="5">
        <v>0</v>
      </c>
      <c r="J240" s="5">
        <v>0</v>
      </c>
    </row>
    <row r="241" spans="1:10" x14ac:dyDescent="0.3">
      <c r="A241" t="s">
        <v>72</v>
      </c>
      <c r="B241" t="str">
        <f t="shared" si="12"/>
        <v>5</v>
      </c>
      <c r="C241" t="str">
        <f t="shared" si="13"/>
        <v>52</v>
      </c>
      <c r="D241" t="str">
        <f t="shared" si="14"/>
        <v>521</v>
      </c>
      <c r="E241" t="str">
        <f t="shared" si="15"/>
        <v>5219</v>
      </c>
      <c r="F241" s="10" t="s">
        <v>653</v>
      </c>
      <c r="G241" t="s">
        <v>654</v>
      </c>
      <c r="H241" s="5">
        <v>-225239951</v>
      </c>
      <c r="I241" s="5">
        <v>-286498365</v>
      </c>
      <c r="J241" s="5">
        <v>-291875890</v>
      </c>
    </row>
    <row r="242" spans="1:10" x14ac:dyDescent="0.3">
      <c r="A242" t="s">
        <v>72</v>
      </c>
      <c r="B242" t="str">
        <f t="shared" si="12"/>
        <v>5</v>
      </c>
      <c r="C242" t="str">
        <f t="shared" si="13"/>
        <v>53</v>
      </c>
      <c r="D242" t="str">
        <f t="shared" si="14"/>
        <v>533</v>
      </c>
      <c r="E242" t="str">
        <f t="shared" si="15"/>
        <v>5331</v>
      </c>
      <c r="F242" s="10" t="s">
        <v>655</v>
      </c>
      <c r="G242" t="s">
        <v>656</v>
      </c>
      <c r="H242" s="5">
        <v>0</v>
      </c>
      <c r="I242" s="5">
        <v>0</v>
      </c>
      <c r="J242" s="5">
        <v>0</v>
      </c>
    </row>
    <row r="243" spans="1:10" x14ac:dyDescent="0.3">
      <c r="A243" t="s">
        <v>79</v>
      </c>
      <c r="B243" t="str">
        <f t="shared" si="12"/>
        <v>5</v>
      </c>
      <c r="C243" t="str">
        <f t="shared" si="13"/>
        <v>56</v>
      </c>
      <c r="D243" t="str">
        <f t="shared" si="14"/>
        <v>565</v>
      </c>
      <c r="E243" t="str">
        <f t="shared" si="15"/>
        <v>5650</v>
      </c>
      <c r="F243" s="10" t="s">
        <v>657</v>
      </c>
      <c r="G243" t="s">
        <v>658</v>
      </c>
      <c r="H243" s="5">
        <v>-730000000</v>
      </c>
      <c r="I243" s="5">
        <v>0</v>
      </c>
      <c r="J243" s="5">
        <v>-173186000</v>
      </c>
    </row>
    <row r="244" spans="1:10" x14ac:dyDescent="0.3">
      <c r="A244" t="s">
        <v>79</v>
      </c>
      <c r="B244" t="str">
        <f t="shared" si="12"/>
        <v>5</v>
      </c>
      <c r="C244" t="str">
        <f t="shared" si="13"/>
        <v>56</v>
      </c>
      <c r="D244" t="str">
        <f t="shared" si="14"/>
        <v>565</v>
      </c>
      <c r="E244" t="str">
        <f t="shared" si="15"/>
        <v>5650</v>
      </c>
      <c r="F244" s="10" t="s">
        <v>659</v>
      </c>
      <c r="G244" t="s">
        <v>660</v>
      </c>
      <c r="H244" s="5">
        <v>-415084136</v>
      </c>
      <c r="I244" s="5">
        <v>0</v>
      </c>
      <c r="J244" s="5">
        <v>0</v>
      </c>
    </row>
    <row r="245" spans="1:10" x14ac:dyDescent="0.3">
      <c r="A245" t="s">
        <v>79</v>
      </c>
      <c r="B245" t="str">
        <f t="shared" si="12"/>
        <v>5</v>
      </c>
      <c r="C245" t="str">
        <f t="shared" si="13"/>
        <v>56</v>
      </c>
      <c r="D245" t="str">
        <f t="shared" si="14"/>
        <v>565</v>
      </c>
      <c r="E245" t="str">
        <f t="shared" si="15"/>
        <v>5650</v>
      </c>
      <c r="F245" s="10" t="s">
        <v>661</v>
      </c>
      <c r="G245" t="s">
        <v>662</v>
      </c>
      <c r="H245" s="5">
        <v>-194187224</v>
      </c>
      <c r="I245" s="5">
        <v>0</v>
      </c>
      <c r="J245" s="5">
        <v>-240000000</v>
      </c>
    </row>
    <row r="246" spans="1:10" x14ac:dyDescent="0.3">
      <c r="A246" t="s">
        <v>79</v>
      </c>
      <c r="B246" t="str">
        <f t="shared" si="12"/>
        <v>5</v>
      </c>
      <c r="C246" t="str">
        <f t="shared" si="13"/>
        <v>56</v>
      </c>
      <c r="D246" t="str">
        <f t="shared" si="14"/>
        <v>565</v>
      </c>
      <c r="E246" t="str">
        <f t="shared" si="15"/>
        <v>5650</v>
      </c>
      <c r="F246" s="10" t="s">
        <v>663</v>
      </c>
      <c r="G246" t="s">
        <v>664</v>
      </c>
      <c r="H246" s="5">
        <v>-1072900000</v>
      </c>
      <c r="I246" s="5">
        <v>-712750000</v>
      </c>
      <c r="J246" s="5">
        <v>-189327700</v>
      </c>
    </row>
    <row r="247" spans="1:10" x14ac:dyDescent="0.3">
      <c r="A247" t="s">
        <v>79</v>
      </c>
      <c r="B247" t="str">
        <f t="shared" si="12"/>
        <v>5</v>
      </c>
      <c r="C247" t="str">
        <f t="shared" si="13"/>
        <v>56</v>
      </c>
      <c r="D247" t="str">
        <f t="shared" si="14"/>
        <v>565</v>
      </c>
      <c r="E247" t="str">
        <f t="shared" si="15"/>
        <v>5650</v>
      </c>
      <c r="F247" s="10" t="s">
        <v>665</v>
      </c>
      <c r="G247" t="s">
        <v>666</v>
      </c>
      <c r="H247" s="5">
        <v>-500000000</v>
      </c>
      <c r="I247" s="5">
        <v>0</v>
      </c>
      <c r="J247" s="5">
        <v>-365000000</v>
      </c>
    </row>
    <row r="248" spans="1:10" x14ac:dyDescent="0.3">
      <c r="A248" t="s">
        <v>79</v>
      </c>
      <c r="B248" t="str">
        <f t="shared" si="12"/>
        <v>5</v>
      </c>
      <c r="C248" t="str">
        <f t="shared" si="13"/>
        <v>56</v>
      </c>
      <c r="D248" t="str">
        <f t="shared" si="14"/>
        <v>565</v>
      </c>
      <c r="E248" t="str">
        <f t="shared" si="15"/>
        <v>5650</v>
      </c>
      <c r="F248" s="10" t="s">
        <v>667</v>
      </c>
      <c r="G248" t="s">
        <v>668</v>
      </c>
      <c r="H248" s="5">
        <v>-800000000</v>
      </c>
      <c r="I248" s="5">
        <v>0</v>
      </c>
      <c r="J248" s="5">
        <v>0</v>
      </c>
    </row>
    <row r="249" spans="1:10" x14ac:dyDescent="0.3">
      <c r="A249" t="s">
        <v>72</v>
      </c>
      <c r="B249" t="str">
        <f t="shared" si="12"/>
        <v>5</v>
      </c>
      <c r="C249" t="str">
        <f t="shared" si="13"/>
        <v>57</v>
      </c>
      <c r="D249" t="str">
        <f t="shared" si="14"/>
        <v>571</v>
      </c>
      <c r="E249" t="str">
        <f t="shared" si="15"/>
        <v>5710</v>
      </c>
      <c r="F249" s="10" t="s">
        <v>669</v>
      </c>
      <c r="G249" t="s">
        <v>670</v>
      </c>
      <c r="H249" s="5">
        <v>0</v>
      </c>
      <c r="I249" s="5">
        <v>0</v>
      </c>
      <c r="J249" s="5">
        <v>0</v>
      </c>
    </row>
    <row r="250" spans="1:10" x14ac:dyDescent="0.3">
      <c r="A250" t="s">
        <v>72</v>
      </c>
      <c r="B250" t="str">
        <f t="shared" si="12"/>
        <v>5</v>
      </c>
      <c r="C250" t="str">
        <f t="shared" si="13"/>
        <v>57</v>
      </c>
      <c r="D250" t="str">
        <f t="shared" si="14"/>
        <v>571</v>
      </c>
      <c r="E250" t="str">
        <f t="shared" si="15"/>
        <v>5711</v>
      </c>
      <c r="F250" s="10" t="s">
        <v>671</v>
      </c>
      <c r="G250" t="s">
        <v>672</v>
      </c>
      <c r="H250" s="5">
        <v>13153455</v>
      </c>
      <c r="I250" s="5">
        <v>53108484</v>
      </c>
      <c r="J250" s="5">
        <v>12524973</v>
      </c>
    </row>
    <row r="251" spans="1:10" x14ac:dyDescent="0.3">
      <c r="A251" t="s">
        <v>72</v>
      </c>
      <c r="B251" t="str">
        <f t="shared" si="12"/>
        <v>5</v>
      </c>
      <c r="C251" t="str">
        <f t="shared" si="13"/>
        <v>57</v>
      </c>
      <c r="D251" t="str">
        <f t="shared" si="14"/>
        <v>571</v>
      </c>
      <c r="E251" t="str">
        <f t="shared" si="15"/>
        <v>5712</v>
      </c>
      <c r="F251" s="10" t="s">
        <v>673</v>
      </c>
      <c r="G251" t="s">
        <v>674</v>
      </c>
      <c r="H251" s="5">
        <v>0</v>
      </c>
      <c r="I251" s="5">
        <v>0</v>
      </c>
      <c r="J251" s="5">
        <v>0</v>
      </c>
    </row>
    <row r="252" spans="1:10" x14ac:dyDescent="0.3">
      <c r="A252" t="s">
        <v>72</v>
      </c>
      <c r="B252" t="str">
        <f t="shared" si="12"/>
        <v>5</v>
      </c>
      <c r="C252" t="str">
        <f t="shared" si="13"/>
        <v>57</v>
      </c>
      <c r="D252" t="str">
        <f t="shared" si="14"/>
        <v>571</v>
      </c>
      <c r="E252" t="str">
        <f t="shared" si="15"/>
        <v>5713</v>
      </c>
      <c r="F252" s="10" t="s">
        <v>675</v>
      </c>
      <c r="G252" t="s">
        <v>676</v>
      </c>
      <c r="H252" s="5">
        <v>0</v>
      </c>
      <c r="I252" s="5">
        <v>0</v>
      </c>
      <c r="J252" s="5">
        <v>0</v>
      </c>
    </row>
    <row r="253" spans="1:10" x14ac:dyDescent="0.3">
      <c r="A253" t="s">
        <v>72</v>
      </c>
      <c r="B253" t="str">
        <f t="shared" si="12"/>
        <v>5</v>
      </c>
      <c r="C253" t="str">
        <f t="shared" si="13"/>
        <v>57</v>
      </c>
      <c r="D253" t="str">
        <f t="shared" si="14"/>
        <v>571</v>
      </c>
      <c r="E253" t="str">
        <f t="shared" si="15"/>
        <v>5714</v>
      </c>
      <c r="F253" s="10" t="s">
        <v>677</v>
      </c>
      <c r="G253" t="s">
        <v>678</v>
      </c>
      <c r="H253" s="5">
        <v>151618</v>
      </c>
      <c r="I253" s="5">
        <v>151618</v>
      </c>
      <c r="J253" s="5">
        <v>151618</v>
      </c>
    </row>
    <row r="254" spans="1:10" x14ac:dyDescent="0.3">
      <c r="A254" t="s">
        <v>72</v>
      </c>
      <c r="B254" t="str">
        <f t="shared" si="12"/>
        <v>5</v>
      </c>
      <c r="C254" t="str">
        <f t="shared" si="13"/>
        <v>57</v>
      </c>
      <c r="D254" t="str">
        <f t="shared" si="14"/>
        <v>571</v>
      </c>
      <c r="E254" t="str">
        <f t="shared" si="15"/>
        <v>5715</v>
      </c>
      <c r="F254" s="10" t="s">
        <v>679</v>
      </c>
      <c r="G254" t="s">
        <v>680</v>
      </c>
      <c r="H254" s="5">
        <v>0</v>
      </c>
      <c r="I254" s="5">
        <v>0</v>
      </c>
      <c r="J254" s="5">
        <v>0</v>
      </c>
    </row>
    <row r="255" spans="1:10" x14ac:dyDescent="0.3">
      <c r="A255" t="s">
        <v>72</v>
      </c>
      <c r="B255" t="str">
        <f t="shared" si="12"/>
        <v>5</v>
      </c>
      <c r="C255" t="str">
        <f t="shared" si="13"/>
        <v>57</v>
      </c>
      <c r="D255" t="str">
        <f t="shared" si="14"/>
        <v>571</v>
      </c>
      <c r="E255" t="str">
        <f t="shared" si="15"/>
        <v>5716</v>
      </c>
      <c r="F255" s="10" t="s">
        <v>681</v>
      </c>
      <c r="G255" t="s">
        <v>682</v>
      </c>
      <c r="H255" s="5">
        <v>0</v>
      </c>
      <c r="I255" s="5">
        <v>0</v>
      </c>
      <c r="J255" s="5">
        <v>0</v>
      </c>
    </row>
    <row r="256" spans="1:10" x14ac:dyDescent="0.3">
      <c r="A256" t="s">
        <v>72</v>
      </c>
      <c r="B256" t="str">
        <f t="shared" si="12"/>
        <v>5</v>
      </c>
      <c r="C256" t="str">
        <f t="shared" si="13"/>
        <v>58</v>
      </c>
      <c r="D256" t="str">
        <f t="shared" si="14"/>
        <v>581</v>
      </c>
      <c r="E256" t="str">
        <f t="shared" si="15"/>
        <v>5810</v>
      </c>
      <c r="F256" s="10" t="s">
        <v>683</v>
      </c>
      <c r="G256" t="s">
        <v>684</v>
      </c>
      <c r="H256" s="5">
        <v>0</v>
      </c>
      <c r="I256" s="5">
        <v>0</v>
      </c>
      <c r="J256" s="5">
        <v>14923518</v>
      </c>
    </row>
    <row r="257" spans="1:10" x14ac:dyDescent="0.3">
      <c r="A257" t="s">
        <v>72</v>
      </c>
      <c r="B257" t="str">
        <f t="shared" si="12"/>
        <v>5</v>
      </c>
      <c r="C257" t="str">
        <f t="shared" si="13"/>
        <v>58</v>
      </c>
      <c r="D257" t="str">
        <f t="shared" si="14"/>
        <v>588</v>
      </c>
      <c r="E257" t="str">
        <f t="shared" si="15"/>
        <v>5880</v>
      </c>
      <c r="F257" s="10" t="s">
        <v>685</v>
      </c>
      <c r="G257" t="s">
        <v>686</v>
      </c>
      <c r="H257" s="5">
        <v>0</v>
      </c>
      <c r="I257" s="5">
        <v>0</v>
      </c>
      <c r="J257" s="5">
        <v>0</v>
      </c>
    </row>
    <row r="258" spans="1:10" x14ac:dyDescent="0.3">
      <c r="A258" t="s">
        <v>85</v>
      </c>
      <c r="B258" t="str">
        <f t="shared" ref="B258:B321" si="16">LEFT($F258,1)</f>
        <v>6</v>
      </c>
      <c r="C258" t="str">
        <f t="shared" ref="C258:C321" si="17">LEFT($F258,2)</f>
        <v>60</v>
      </c>
      <c r="D258" t="str">
        <f t="shared" ref="D258:D321" si="18">LEFT($F258,3)</f>
        <v>601</v>
      </c>
      <c r="E258" t="str">
        <f t="shared" ref="E258:E321" si="19">LEFT($F258,4)</f>
        <v>6011</v>
      </c>
      <c r="F258" s="10" t="s">
        <v>687</v>
      </c>
      <c r="G258" t="s">
        <v>688</v>
      </c>
      <c r="H258" s="5">
        <v>0</v>
      </c>
      <c r="I258" s="5">
        <v>0</v>
      </c>
      <c r="J258" s="5">
        <v>0</v>
      </c>
    </row>
    <row r="259" spans="1:10" x14ac:dyDescent="0.3">
      <c r="A259" t="s">
        <v>85</v>
      </c>
      <c r="B259" t="str">
        <f t="shared" si="16"/>
        <v>6</v>
      </c>
      <c r="C259" t="str">
        <f t="shared" si="17"/>
        <v>60</v>
      </c>
      <c r="D259" t="str">
        <f t="shared" si="18"/>
        <v>601</v>
      </c>
      <c r="E259" t="str">
        <f t="shared" si="19"/>
        <v>6011</v>
      </c>
      <c r="F259" s="10" t="s">
        <v>689</v>
      </c>
      <c r="G259" t="s">
        <v>690</v>
      </c>
      <c r="H259" s="5">
        <v>0</v>
      </c>
      <c r="I259" s="5">
        <v>0</v>
      </c>
      <c r="J259" s="5">
        <v>134697600</v>
      </c>
    </row>
    <row r="260" spans="1:10" x14ac:dyDescent="0.3">
      <c r="A260" t="s">
        <v>85</v>
      </c>
      <c r="B260" t="str">
        <f t="shared" si="16"/>
        <v>6</v>
      </c>
      <c r="C260" t="str">
        <f t="shared" si="17"/>
        <v>60</v>
      </c>
      <c r="D260" t="str">
        <f t="shared" si="18"/>
        <v>601</v>
      </c>
      <c r="E260" t="str">
        <f t="shared" si="19"/>
        <v>6012</v>
      </c>
      <c r="F260" s="10" t="s">
        <v>691</v>
      </c>
      <c r="G260" t="s">
        <v>692</v>
      </c>
      <c r="H260" s="5">
        <v>0</v>
      </c>
      <c r="I260" s="5">
        <v>0</v>
      </c>
      <c r="J260" s="5">
        <v>0</v>
      </c>
    </row>
    <row r="261" spans="1:10" x14ac:dyDescent="0.3">
      <c r="A261" t="s">
        <v>85</v>
      </c>
      <c r="B261" t="str">
        <f t="shared" si="16"/>
        <v>6</v>
      </c>
      <c r="C261" t="str">
        <f t="shared" si="17"/>
        <v>60</v>
      </c>
      <c r="D261" t="str">
        <f t="shared" si="18"/>
        <v>602</v>
      </c>
      <c r="E261" t="str">
        <f t="shared" si="19"/>
        <v>6020</v>
      </c>
      <c r="F261" s="10" t="s">
        <v>693</v>
      </c>
      <c r="G261" t="s">
        <v>694</v>
      </c>
      <c r="H261" s="5">
        <v>12216166302</v>
      </c>
      <c r="I261" s="5">
        <v>9697585507</v>
      </c>
      <c r="J261" s="5">
        <v>13448837244</v>
      </c>
    </row>
    <row r="262" spans="1:10" x14ac:dyDescent="0.3">
      <c r="A262" t="s">
        <v>85</v>
      </c>
      <c r="B262" t="str">
        <f t="shared" si="16"/>
        <v>6</v>
      </c>
      <c r="C262" t="str">
        <f t="shared" si="17"/>
        <v>60</v>
      </c>
      <c r="D262" t="str">
        <f t="shared" si="18"/>
        <v>602</v>
      </c>
      <c r="E262" t="str">
        <f t="shared" si="19"/>
        <v>6021</v>
      </c>
      <c r="F262" s="10" t="s">
        <v>695</v>
      </c>
      <c r="G262" t="s">
        <v>696</v>
      </c>
      <c r="H262" s="5">
        <v>189000000</v>
      </c>
      <c r="I262" s="5">
        <v>207950000</v>
      </c>
      <c r="J262" s="5">
        <v>28473194</v>
      </c>
    </row>
    <row r="263" spans="1:10" x14ac:dyDescent="0.3">
      <c r="A263" t="s">
        <v>85</v>
      </c>
      <c r="B263" t="str">
        <f t="shared" si="16"/>
        <v>6</v>
      </c>
      <c r="C263" t="str">
        <f t="shared" si="17"/>
        <v>60</v>
      </c>
      <c r="D263" t="str">
        <f t="shared" si="18"/>
        <v>602</v>
      </c>
      <c r="E263" t="str">
        <f t="shared" si="19"/>
        <v>6021</v>
      </c>
      <c r="F263" s="10" t="s">
        <v>697</v>
      </c>
      <c r="G263" t="s">
        <v>698</v>
      </c>
      <c r="H263" s="5">
        <v>-38388320</v>
      </c>
      <c r="I263" s="5">
        <v>26440800</v>
      </c>
      <c r="J263" s="5">
        <v>39203496</v>
      </c>
    </row>
    <row r="264" spans="1:10" x14ac:dyDescent="0.3">
      <c r="A264" t="s">
        <v>85</v>
      </c>
      <c r="B264" t="str">
        <f t="shared" si="16"/>
        <v>6</v>
      </c>
      <c r="C264" t="str">
        <f t="shared" si="17"/>
        <v>60</v>
      </c>
      <c r="D264" t="str">
        <f t="shared" si="18"/>
        <v>602</v>
      </c>
      <c r="E264" t="str">
        <f t="shared" si="19"/>
        <v>6023</v>
      </c>
      <c r="F264" s="10" t="s">
        <v>699</v>
      </c>
      <c r="G264" t="s">
        <v>700</v>
      </c>
      <c r="H264" s="5">
        <v>242544395</v>
      </c>
      <c r="I264" s="5">
        <v>172125390</v>
      </c>
      <c r="J264" s="5">
        <v>137940706</v>
      </c>
    </row>
    <row r="265" spans="1:10" x14ac:dyDescent="0.3">
      <c r="A265" t="s">
        <v>85</v>
      </c>
      <c r="B265" t="str">
        <f t="shared" si="16"/>
        <v>6</v>
      </c>
      <c r="C265" t="str">
        <f t="shared" si="17"/>
        <v>60</v>
      </c>
      <c r="D265" t="str">
        <f t="shared" si="18"/>
        <v>602</v>
      </c>
      <c r="E265" t="str">
        <f t="shared" si="19"/>
        <v>6023</v>
      </c>
      <c r="F265" s="10" t="s">
        <v>701</v>
      </c>
      <c r="G265" t="s">
        <v>702</v>
      </c>
      <c r="H265" s="5">
        <v>0</v>
      </c>
      <c r="I265" s="5">
        <v>0</v>
      </c>
      <c r="J265" s="5">
        <v>60650534</v>
      </c>
    </row>
    <row r="266" spans="1:10" x14ac:dyDescent="0.3">
      <c r="A266" t="s">
        <v>85</v>
      </c>
      <c r="B266" t="str">
        <f t="shared" si="16"/>
        <v>6</v>
      </c>
      <c r="C266" t="str">
        <f t="shared" si="17"/>
        <v>60</v>
      </c>
      <c r="D266" t="str">
        <f t="shared" si="18"/>
        <v>602</v>
      </c>
      <c r="E266" t="str">
        <f t="shared" si="19"/>
        <v>6024</v>
      </c>
      <c r="F266" s="10" t="s">
        <v>703</v>
      </c>
      <c r="G266" t="s">
        <v>704</v>
      </c>
      <c r="H266" s="5">
        <v>142207215</v>
      </c>
      <c r="I266" s="5">
        <v>65723397</v>
      </c>
      <c r="J266" s="5">
        <v>145817937</v>
      </c>
    </row>
    <row r="267" spans="1:10" x14ac:dyDescent="0.3">
      <c r="A267" t="s">
        <v>85</v>
      </c>
      <c r="B267" t="str">
        <f t="shared" si="16"/>
        <v>6</v>
      </c>
      <c r="C267" t="str">
        <f t="shared" si="17"/>
        <v>60</v>
      </c>
      <c r="D267" t="str">
        <f t="shared" si="18"/>
        <v>602</v>
      </c>
      <c r="E267" t="str">
        <f t="shared" si="19"/>
        <v>6025</v>
      </c>
      <c r="F267" s="10" t="s">
        <v>705</v>
      </c>
      <c r="G267" t="s">
        <v>706</v>
      </c>
      <c r="H267" s="5">
        <v>1672348264</v>
      </c>
      <c r="I267" s="5">
        <v>1079599156</v>
      </c>
      <c r="J267" s="5">
        <v>1487852472</v>
      </c>
    </row>
    <row r="268" spans="1:10" x14ac:dyDescent="0.3">
      <c r="A268" t="s">
        <v>85</v>
      </c>
      <c r="B268" t="str">
        <f t="shared" si="16"/>
        <v>6</v>
      </c>
      <c r="C268" t="str">
        <f t="shared" si="17"/>
        <v>60</v>
      </c>
      <c r="D268" t="str">
        <f t="shared" si="18"/>
        <v>602</v>
      </c>
      <c r="E268" t="str">
        <f t="shared" si="19"/>
        <v>6025</v>
      </c>
      <c r="F268" s="10" t="s">
        <v>707</v>
      </c>
      <c r="G268" t="s">
        <v>708</v>
      </c>
      <c r="H268" s="5">
        <v>0</v>
      </c>
      <c r="I268" s="5">
        <v>13127400</v>
      </c>
      <c r="J268" s="5">
        <v>0</v>
      </c>
    </row>
    <row r="269" spans="1:10" x14ac:dyDescent="0.3">
      <c r="A269" t="s">
        <v>85</v>
      </c>
      <c r="B269" t="str">
        <f t="shared" si="16"/>
        <v>6</v>
      </c>
      <c r="C269" t="str">
        <f t="shared" si="17"/>
        <v>60</v>
      </c>
      <c r="D269" t="str">
        <f t="shared" si="18"/>
        <v>602</v>
      </c>
      <c r="E269" t="str">
        <f t="shared" si="19"/>
        <v>6026</v>
      </c>
      <c r="F269" s="10" t="s">
        <v>709</v>
      </c>
      <c r="G269" t="s">
        <v>710</v>
      </c>
      <c r="H269" s="5">
        <v>235377990</v>
      </c>
      <c r="I269" s="5">
        <v>237147689</v>
      </c>
      <c r="J269" s="5">
        <v>297265402</v>
      </c>
    </row>
    <row r="270" spans="1:10" x14ac:dyDescent="0.3">
      <c r="A270" t="s">
        <v>85</v>
      </c>
      <c r="B270" t="str">
        <f t="shared" si="16"/>
        <v>6</v>
      </c>
      <c r="C270" t="str">
        <f t="shared" si="17"/>
        <v>60</v>
      </c>
      <c r="D270" t="str">
        <f t="shared" si="18"/>
        <v>602</v>
      </c>
      <c r="E270" t="str">
        <f t="shared" si="19"/>
        <v>6027</v>
      </c>
      <c r="F270" s="10" t="s">
        <v>711</v>
      </c>
      <c r="G270" t="s">
        <v>712</v>
      </c>
      <c r="H270" s="5">
        <v>0</v>
      </c>
      <c r="I270" s="5">
        <v>0</v>
      </c>
      <c r="J270" s="5">
        <v>0</v>
      </c>
    </row>
    <row r="271" spans="1:10" x14ac:dyDescent="0.3">
      <c r="A271" t="s">
        <v>85</v>
      </c>
      <c r="B271" t="str">
        <f t="shared" si="16"/>
        <v>6</v>
      </c>
      <c r="C271" t="str">
        <f t="shared" si="17"/>
        <v>60</v>
      </c>
      <c r="D271" t="str">
        <f t="shared" si="18"/>
        <v>602</v>
      </c>
      <c r="E271" t="str">
        <f t="shared" si="19"/>
        <v>6028</v>
      </c>
      <c r="F271" s="10" t="s">
        <v>713</v>
      </c>
      <c r="G271" t="s">
        <v>714</v>
      </c>
      <c r="H271" s="5">
        <v>0</v>
      </c>
      <c r="I271" s="5">
        <v>0</v>
      </c>
      <c r="J271" s="5">
        <v>0</v>
      </c>
    </row>
    <row r="272" spans="1:10" x14ac:dyDescent="0.3">
      <c r="A272" t="s">
        <v>85</v>
      </c>
      <c r="B272" t="str">
        <f t="shared" si="16"/>
        <v>6</v>
      </c>
      <c r="C272" t="str">
        <f t="shared" si="17"/>
        <v>60</v>
      </c>
      <c r="D272" t="str">
        <f t="shared" si="18"/>
        <v>602</v>
      </c>
      <c r="E272" t="str">
        <f t="shared" si="19"/>
        <v>6029</v>
      </c>
      <c r="F272" s="10" t="s">
        <v>715</v>
      </c>
      <c r="G272" t="s">
        <v>716</v>
      </c>
      <c r="H272" s="5">
        <v>0</v>
      </c>
      <c r="I272" s="5">
        <v>0</v>
      </c>
      <c r="J272" s="5">
        <v>0</v>
      </c>
    </row>
    <row r="273" spans="1:10" x14ac:dyDescent="0.3">
      <c r="A273" t="s">
        <v>85</v>
      </c>
      <c r="B273" t="str">
        <f t="shared" si="16"/>
        <v>6</v>
      </c>
      <c r="C273" t="str">
        <f t="shared" si="17"/>
        <v>60</v>
      </c>
      <c r="D273" t="str">
        <f t="shared" si="18"/>
        <v>602</v>
      </c>
      <c r="E273" t="str">
        <f t="shared" si="19"/>
        <v>6029</v>
      </c>
      <c r="F273" s="10" t="s">
        <v>717</v>
      </c>
      <c r="G273" t="s">
        <v>718</v>
      </c>
      <c r="H273" s="5">
        <v>0</v>
      </c>
      <c r="I273" s="5">
        <v>0</v>
      </c>
      <c r="J273" s="5">
        <v>2352487</v>
      </c>
    </row>
    <row r="274" spans="1:10" x14ac:dyDescent="0.3">
      <c r="A274" t="s">
        <v>85</v>
      </c>
      <c r="B274" t="str">
        <f t="shared" si="16"/>
        <v>6</v>
      </c>
      <c r="C274" t="str">
        <f t="shared" si="17"/>
        <v>60</v>
      </c>
      <c r="D274" t="str">
        <f t="shared" si="18"/>
        <v>603</v>
      </c>
      <c r="E274" t="str">
        <f t="shared" si="19"/>
        <v>6032</v>
      </c>
      <c r="F274" s="10" t="s">
        <v>719</v>
      </c>
      <c r="G274" t="s">
        <v>720</v>
      </c>
      <c r="H274" s="5">
        <v>0</v>
      </c>
      <c r="I274" s="5">
        <v>0</v>
      </c>
      <c r="J274" s="5">
        <v>0</v>
      </c>
    </row>
    <row r="275" spans="1:10" x14ac:dyDescent="0.3">
      <c r="A275" t="s">
        <v>85</v>
      </c>
      <c r="B275" t="str">
        <f t="shared" si="16"/>
        <v>6</v>
      </c>
      <c r="C275" t="str">
        <f t="shared" si="17"/>
        <v>60</v>
      </c>
      <c r="D275" t="str">
        <f t="shared" si="18"/>
        <v>603</v>
      </c>
      <c r="E275" t="str">
        <f t="shared" si="19"/>
        <v>6032</v>
      </c>
      <c r="F275" s="10" t="s">
        <v>721</v>
      </c>
      <c r="G275" t="s">
        <v>722</v>
      </c>
      <c r="H275" s="5">
        <v>-184310171</v>
      </c>
      <c r="I275" s="5">
        <v>174718213</v>
      </c>
      <c r="J275" s="5">
        <v>20328816</v>
      </c>
    </row>
    <row r="276" spans="1:10" x14ac:dyDescent="0.3">
      <c r="A276" t="s">
        <v>85</v>
      </c>
      <c r="B276" t="str">
        <f t="shared" si="16"/>
        <v>6</v>
      </c>
      <c r="C276" t="str">
        <f t="shared" si="17"/>
        <v>60</v>
      </c>
      <c r="D276" t="str">
        <f t="shared" si="18"/>
        <v>603</v>
      </c>
      <c r="E276" t="str">
        <f t="shared" si="19"/>
        <v>6033</v>
      </c>
      <c r="F276" s="10" t="s">
        <v>723</v>
      </c>
      <c r="G276" t="s">
        <v>724</v>
      </c>
      <c r="H276" s="5">
        <v>4407260</v>
      </c>
      <c r="I276" s="5">
        <v>-1054768</v>
      </c>
      <c r="J276" s="5">
        <v>-10671097</v>
      </c>
    </row>
    <row r="277" spans="1:10" x14ac:dyDescent="0.3">
      <c r="A277" t="s">
        <v>85</v>
      </c>
      <c r="B277" t="str">
        <f t="shared" si="16"/>
        <v>6</v>
      </c>
      <c r="C277" t="str">
        <f t="shared" si="17"/>
        <v>60</v>
      </c>
      <c r="D277" t="str">
        <f t="shared" si="18"/>
        <v>603</v>
      </c>
      <c r="E277" t="str">
        <f t="shared" si="19"/>
        <v>6033</v>
      </c>
      <c r="F277" s="10" t="s">
        <v>725</v>
      </c>
      <c r="G277" t="s">
        <v>726</v>
      </c>
      <c r="H277" s="5">
        <v>3299356</v>
      </c>
      <c r="I277" s="5">
        <v>-2512868</v>
      </c>
      <c r="J277" s="5">
        <v>-26329546</v>
      </c>
    </row>
    <row r="278" spans="1:10" x14ac:dyDescent="0.3">
      <c r="A278" t="s">
        <v>85</v>
      </c>
      <c r="B278" t="str">
        <f t="shared" si="16"/>
        <v>6</v>
      </c>
      <c r="C278" t="str">
        <f t="shared" si="17"/>
        <v>60</v>
      </c>
      <c r="D278" t="str">
        <f t="shared" si="18"/>
        <v>603</v>
      </c>
      <c r="E278" t="str">
        <f t="shared" si="19"/>
        <v>6033</v>
      </c>
      <c r="F278" s="10" t="s">
        <v>727</v>
      </c>
      <c r="G278" t="s">
        <v>728</v>
      </c>
      <c r="H278" s="5">
        <v>-13325047</v>
      </c>
      <c r="I278" s="5">
        <v>9632144</v>
      </c>
      <c r="J278" s="5">
        <v>-22413389</v>
      </c>
    </row>
    <row r="279" spans="1:10" x14ac:dyDescent="0.3">
      <c r="A279" t="s">
        <v>85</v>
      </c>
      <c r="B279" t="str">
        <f t="shared" si="16"/>
        <v>6</v>
      </c>
      <c r="C279" t="str">
        <f t="shared" si="17"/>
        <v>60</v>
      </c>
      <c r="D279" t="str">
        <f t="shared" si="18"/>
        <v>603</v>
      </c>
      <c r="E279" t="str">
        <f t="shared" si="19"/>
        <v>6033</v>
      </c>
      <c r="F279" s="10" t="s">
        <v>729</v>
      </c>
      <c r="G279" t="s">
        <v>730</v>
      </c>
      <c r="H279" s="5">
        <v>733564</v>
      </c>
      <c r="I279" s="5">
        <v>1693427</v>
      </c>
      <c r="J279" s="5">
        <v>-1336325</v>
      </c>
    </row>
    <row r="280" spans="1:10" x14ac:dyDescent="0.3">
      <c r="A280" t="s">
        <v>85</v>
      </c>
      <c r="B280" t="str">
        <f t="shared" si="16"/>
        <v>6</v>
      </c>
      <c r="C280" t="str">
        <f t="shared" si="17"/>
        <v>60</v>
      </c>
      <c r="D280" t="str">
        <f t="shared" si="18"/>
        <v>603</v>
      </c>
      <c r="E280" t="str">
        <f t="shared" si="19"/>
        <v>6033</v>
      </c>
      <c r="F280" s="10" t="s">
        <v>731</v>
      </c>
      <c r="G280" t="s">
        <v>732</v>
      </c>
      <c r="H280" s="5">
        <v>-3749985</v>
      </c>
      <c r="I280" s="5">
        <v>11683720</v>
      </c>
      <c r="J280" s="5">
        <v>-363975</v>
      </c>
    </row>
    <row r="281" spans="1:10" x14ac:dyDescent="0.3">
      <c r="A281" t="s">
        <v>85</v>
      </c>
      <c r="B281" t="str">
        <f t="shared" si="16"/>
        <v>6</v>
      </c>
      <c r="C281" t="str">
        <f t="shared" si="17"/>
        <v>60</v>
      </c>
      <c r="D281" t="str">
        <f t="shared" si="18"/>
        <v>603</v>
      </c>
      <c r="E281" t="str">
        <f t="shared" si="19"/>
        <v>6033</v>
      </c>
      <c r="F281" s="10" t="s">
        <v>733</v>
      </c>
      <c r="G281" t="s">
        <v>734</v>
      </c>
      <c r="H281" s="5">
        <v>51484684</v>
      </c>
      <c r="I281" s="5">
        <v>-139642302</v>
      </c>
      <c r="J281" s="5">
        <v>-185811876</v>
      </c>
    </row>
    <row r="282" spans="1:10" x14ac:dyDescent="0.3">
      <c r="A282" t="s">
        <v>85</v>
      </c>
      <c r="B282" t="str">
        <f t="shared" si="16"/>
        <v>6</v>
      </c>
      <c r="C282" t="str">
        <f t="shared" si="17"/>
        <v>60</v>
      </c>
      <c r="D282" t="str">
        <f t="shared" si="18"/>
        <v>603</v>
      </c>
      <c r="E282" t="str">
        <f t="shared" si="19"/>
        <v>6033</v>
      </c>
      <c r="F282" s="10" t="s">
        <v>735</v>
      </c>
      <c r="G282" t="s">
        <v>736</v>
      </c>
      <c r="H282" s="5">
        <v>10826421</v>
      </c>
      <c r="I282" s="5">
        <v>6067804</v>
      </c>
      <c r="J282" s="5">
        <v>-7379365</v>
      </c>
    </row>
    <row r="283" spans="1:10" x14ac:dyDescent="0.3">
      <c r="A283" t="s">
        <v>90</v>
      </c>
      <c r="B283" t="str">
        <f t="shared" si="16"/>
        <v>6</v>
      </c>
      <c r="C283" t="str">
        <f t="shared" si="17"/>
        <v>60</v>
      </c>
      <c r="D283" t="str">
        <f t="shared" si="18"/>
        <v>604</v>
      </c>
      <c r="E283" t="str">
        <f t="shared" si="19"/>
        <v>6041</v>
      </c>
      <c r="F283" s="10" t="s">
        <v>737</v>
      </c>
      <c r="G283" t="s">
        <v>738</v>
      </c>
      <c r="H283" s="5">
        <v>33905180</v>
      </c>
      <c r="I283" s="5">
        <v>57738650</v>
      </c>
      <c r="J283" s="5">
        <v>30072000</v>
      </c>
    </row>
    <row r="284" spans="1:10" x14ac:dyDescent="0.3">
      <c r="A284" t="s">
        <v>90</v>
      </c>
      <c r="B284" t="str">
        <f t="shared" si="16"/>
        <v>6</v>
      </c>
      <c r="C284" t="str">
        <f t="shared" si="17"/>
        <v>60</v>
      </c>
      <c r="D284" t="str">
        <f t="shared" si="18"/>
        <v>604</v>
      </c>
      <c r="E284" t="str">
        <f t="shared" si="19"/>
        <v>6041</v>
      </c>
      <c r="F284" s="10" t="s">
        <v>739</v>
      </c>
      <c r="G284" t="s">
        <v>740</v>
      </c>
      <c r="H284" s="5">
        <v>44430762</v>
      </c>
      <c r="I284" s="5">
        <v>6967460</v>
      </c>
      <c r="J284" s="5">
        <v>75389754</v>
      </c>
    </row>
    <row r="285" spans="1:10" x14ac:dyDescent="0.3">
      <c r="A285" t="s">
        <v>90</v>
      </c>
      <c r="B285" t="str">
        <f t="shared" si="16"/>
        <v>6</v>
      </c>
      <c r="C285" t="str">
        <f t="shared" si="17"/>
        <v>60</v>
      </c>
      <c r="D285" t="str">
        <f t="shared" si="18"/>
        <v>604</v>
      </c>
      <c r="E285" t="str">
        <f t="shared" si="19"/>
        <v>6041</v>
      </c>
      <c r="F285" s="10" t="s">
        <v>741</v>
      </c>
      <c r="G285" t="s">
        <v>742</v>
      </c>
      <c r="H285" s="5">
        <v>354740</v>
      </c>
      <c r="I285" s="5">
        <v>0</v>
      </c>
      <c r="J285" s="5">
        <v>3150000</v>
      </c>
    </row>
    <row r="286" spans="1:10" x14ac:dyDescent="0.3">
      <c r="A286" t="s">
        <v>90</v>
      </c>
      <c r="B286" t="str">
        <f t="shared" si="16"/>
        <v>6</v>
      </c>
      <c r="C286" t="str">
        <f t="shared" si="17"/>
        <v>60</v>
      </c>
      <c r="D286" t="str">
        <f t="shared" si="18"/>
        <v>604</v>
      </c>
      <c r="E286" t="str">
        <f t="shared" si="19"/>
        <v>6041</v>
      </c>
      <c r="F286" s="10" t="s">
        <v>743</v>
      </c>
      <c r="G286" t="s">
        <v>744</v>
      </c>
      <c r="H286" s="5">
        <v>13160000</v>
      </c>
      <c r="I286" s="5">
        <v>360000</v>
      </c>
      <c r="J286" s="5">
        <v>2150000</v>
      </c>
    </row>
    <row r="287" spans="1:10" x14ac:dyDescent="0.3">
      <c r="A287" t="s">
        <v>90</v>
      </c>
      <c r="B287" t="str">
        <f t="shared" si="16"/>
        <v>6</v>
      </c>
      <c r="C287" t="str">
        <f t="shared" si="17"/>
        <v>60</v>
      </c>
      <c r="D287" t="str">
        <f t="shared" si="18"/>
        <v>604</v>
      </c>
      <c r="E287" t="str">
        <f t="shared" si="19"/>
        <v>6042</v>
      </c>
      <c r="F287" s="10" t="s">
        <v>745</v>
      </c>
      <c r="G287" t="s">
        <v>746</v>
      </c>
      <c r="H287" s="5">
        <v>0</v>
      </c>
      <c r="I287" s="5">
        <v>393450</v>
      </c>
      <c r="J287" s="5">
        <v>0</v>
      </c>
    </row>
    <row r="288" spans="1:10" x14ac:dyDescent="0.3">
      <c r="A288" t="s">
        <v>90</v>
      </c>
      <c r="B288" t="str">
        <f t="shared" si="16"/>
        <v>6</v>
      </c>
      <c r="C288" t="str">
        <f t="shared" si="17"/>
        <v>60</v>
      </c>
      <c r="D288" t="str">
        <f t="shared" si="18"/>
        <v>604</v>
      </c>
      <c r="E288" t="str">
        <f t="shared" si="19"/>
        <v>6042</v>
      </c>
      <c r="F288" s="10" t="s">
        <v>747</v>
      </c>
      <c r="G288" t="s">
        <v>748</v>
      </c>
      <c r="H288" s="5">
        <v>4728923</v>
      </c>
      <c r="I288" s="5">
        <v>5182400</v>
      </c>
      <c r="J288" s="5">
        <v>6351184</v>
      </c>
    </row>
    <row r="289" spans="1:10" x14ac:dyDescent="0.3">
      <c r="A289" t="s">
        <v>90</v>
      </c>
      <c r="B289" t="str">
        <f t="shared" si="16"/>
        <v>6</v>
      </c>
      <c r="C289" t="str">
        <f t="shared" si="17"/>
        <v>60</v>
      </c>
      <c r="D289" t="str">
        <f t="shared" si="18"/>
        <v>604</v>
      </c>
      <c r="E289" t="str">
        <f t="shared" si="19"/>
        <v>6042</v>
      </c>
      <c r="F289" s="10" t="s">
        <v>749</v>
      </c>
      <c r="G289" t="s">
        <v>750</v>
      </c>
      <c r="H289" s="5">
        <v>0</v>
      </c>
      <c r="I289" s="5">
        <v>0</v>
      </c>
      <c r="J289" s="5">
        <v>0</v>
      </c>
    </row>
    <row r="290" spans="1:10" x14ac:dyDescent="0.3">
      <c r="A290" t="s">
        <v>90</v>
      </c>
      <c r="B290" t="str">
        <f t="shared" si="16"/>
        <v>6</v>
      </c>
      <c r="C290" t="str">
        <f t="shared" si="17"/>
        <v>60</v>
      </c>
      <c r="D290" t="str">
        <f t="shared" si="18"/>
        <v>604</v>
      </c>
      <c r="E290" t="str">
        <f t="shared" si="19"/>
        <v>6042</v>
      </c>
      <c r="F290" s="10" t="s">
        <v>751</v>
      </c>
      <c r="G290" t="s">
        <v>752</v>
      </c>
      <c r="H290" s="5">
        <v>898376</v>
      </c>
      <c r="I290" s="5">
        <v>0</v>
      </c>
      <c r="J290" s="5">
        <v>0</v>
      </c>
    </row>
    <row r="291" spans="1:10" x14ac:dyDescent="0.3">
      <c r="A291" t="s">
        <v>90</v>
      </c>
      <c r="B291" t="str">
        <f t="shared" si="16"/>
        <v>6</v>
      </c>
      <c r="C291" t="str">
        <f t="shared" si="17"/>
        <v>60</v>
      </c>
      <c r="D291" t="str">
        <f t="shared" si="18"/>
        <v>604</v>
      </c>
      <c r="E291" t="str">
        <f t="shared" si="19"/>
        <v>6043</v>
      </c>
      <c r="F291" s="10" t="s">
        <v>753</v>
      </c>
      <c r="G291" t="s">
        <v>754</v>
      </c>
      <c r="H291" s="5">
        <v>177997</v>
      </c>
      <c r="I291" s="5">
        <v>64640</v>
      </c>
      <c r="J291" s="5">
        <v>145440</v>
      </c>
    </row>
    <row r="292" spans="1:10" x14ac:dyDescent="0.3">
      <c r="A292" t="s">
        <v>90</v>
      </c>
      <c r="B292" t="str">
        <f t="shared" si="16"/>
        <v>6</v>
      </c>
      <c r="C292" t="str">
        <f t="shared" si="17"/>
        <v>60</v>
      </c>
      <c r="D292" t="str">
        <f t="shared" si="18"/>
        <v>604</v>
      </c>
      <c r="E292" t="str">
        <f t="shared" si="19"/>
        <v>6043</v>
      </c>
      <c r="F292" s="10" t="s">
        <v>755</v>
      </c>
      <c r="G292" t="s">
        <v>754</v>
      </c>
      <c r="H292" s="5">
        <v>0</v>
      </c>
      <c r="I292" s="5">
        <v>0</v>
      </c>
      <c r="J292" s="5">
        <v>82500</v>
      </c>
    </row>
    <row r="293" spans="1:10" x14ac:dyDescent="0.3">
      <c r="A293" t="s">
        <v>90</v>
      </c>
      <c r="B293" t="str">
        <f t="shared" si="16"/>
        <v>6</v>
      </c>
      <c r="C293" t="str">
        <f t="shared" si="17"/>
        <v>60</v>
      </c>
      <c r="D293" t="str">
        <f t="shared" si="18"/>
        <v>604</v>
      </c>
      <c r="E293" t="str">
        <f t="shared" si="19"/>
        <v>6043</v>
      </c>
      <c r="F293" s="10" t="s">
        <v>756</v>
      </c>
      <c r="G293" t="s">
        <v>757</v>
      </c>
      <c r="H293" s="5">
        <v>201500</v>
      </c>
      <c r="I293" s="5">
        <v>0</v>
      </c>
      <c r="J293" s="5">
        <v>0</v>
      </c>
    </row>
    <row r="294" spans="1:10" x14ac:dyDescent="0.3">
      <c r="A294" t="s">
        <v>90</v>
      </c>
      <c r="B294" t="str">
        <f t="shared" si="16"/>
        <v>6</v>
      </c>
      <c r="C294" t="str">
        <f t="shared" si="17"/>
        <v>60</v>
      </c>
      <c r="D294" t="str">
        <f t="shared" si="18"/>
        <v>604</v>
      </c>
      <c r="E294" t="str">
        <f t="shared" si="19"/>
        <v>6043</v>
      </c>
      <c r="F294" s="10" t="s">
        <v>758</v>
      </c>
      <c r="G294" t="s">
        <v>759</v>
      </c>
      <c r="H294" s="5">
        <v>0</v>
      </c>
      <c r="I294" s="5">
        <v>0</v>
      </c>
      <c r="J294" s="5">
        <v>68400</v>
      </c>
    </row>
    <row r="295" spans="1:10" x14ac:dyDescent="0.3">
      <c r="A295" t="s">
        <v>90</v>
      </c>
      <c r="B295" t="str">
        <f t="shared" si="16"/>
        <v>6</v>
      </c>
      <c r="C295" t="str">
        <f t="shared" si="17"/>
        <v>60</v>
      </c>
      <c r="D295" t="str">
        <f t="shared" si="18"/>
        <v>604</v>
      </c>
      <c r="E295" t="str">
        <f t="shared" si="19"/>
        <v>6045</v>
      </c>
      <c r="F295" s="10" t="s">
        <v>760</v>
      </c>
      <c r="G295" t="s">
        <v>761</v>
      </c>
      <c r="H295" s="5">
        <v>19000</v>
      </c>
      <c r="I295" s="5">
        <v>525000</v>
      </c>
      <c r="J295" s="5">
        <v>143544</v>
      </c>
    </row>
    <row r="296" spans="1:10" x14ac:dyDescent="0.3">
      <c r="A296" t="s">
        <v>90</v>
      </c>
      <c r="B296" t="str">
        <f t="shared" si="16"/>
        <v>6</v>
      </c>
      <c r="C296" t="str">
        <f t="shared" si="17"/>
        <v>60</v>
      </c>
      <c r="D296" t="str">
        <f t="shared" si="18"/>
        <v>604</v>
      </c>
      <c r="E296" t="str">
        <f t="shared" si="19"/>
        <v>6045</v>
      </c>
      <c r="F296" s="10" t="s">
        <v>762</v>
      </c>
      <c r="G296" t="s">
        <v>763</v>
      </c>
      <c r="H296" s="5">
        <v>35758575</v>
      </c>
      <c r="I296" s="5">
        <v>30303815</v>
      </c>
      <c r="J296" s="5">
        <v>51071362</v>
      </c>
    </row>
    <row r="297" spans="1:10" x14ac:dyDescent="0.3">
      <c r="A297" t="s">
        <v>90</v>
      </c>
      <c r="B297" t="str">
        <f t="shared" si="16"/>
        <v>6</v>
      </c>
      <c r="C297" t="str">
        <f t="shared" si="17"/>
        <v>60</v>
      </c>
      <c r="D297" t="str">
        <f t="shared" si="18"/>
        <v>605</v>
      </c>
      <c r="E297" t="str">
        <f t="shared" si="19"/>
        <v>6050</v>
      </c>
      <c r="F297" s="10" t="s">
        <v>764</v>
      </c>
      <c r="G297" t="s">
        <v>765</v>
      </c>
      <c r="H297" s="5">
        <v>2500</v>
      </c>
      <c r="I297" s="5">
        <v>36000</v>
      </c>
      <c r="J297" s="5">
        <v>74000</v>
      </c>
    </row>
    <row r="298" spans="1:10" x14ac:dyDescent="0.3">
      <c r="A298" t="s">
        <v>90</v>
      </c>
      <c r="B298" t="str">
        <f t="shared" si="16"/>
        <v>6</v>
      </c>
      <c r="C298" t="str">
        <f t="shared" si="17"/>
        <v>60</v>
      </c>
      <c r="D298" t="str">
        <f t="shared" si="18"/>
        <v>605</v>
      </c>
      <c r="E298" t="str">
        <f t="shared" si="19"/>
        <v>6050</v>
      </c>
      <c r="F298" s="10" t="s">
        <v>766</v>
      </c>
      <c r="G298" t="s">
        <v>767</v>
      </c>
      <c r="H298" s="5">
        <v>0</v>
      </c>
      <c r="I298" s="5">
        <v>0</v>
      </c>
      <c r="J298" s="5">
        <v>0</v>
      </c>
    </row>
    <row r="299" spans="1:10" x14ac:dyDescent="0.3">
      <c r="A299" t="s">
        <v>90</v>
      </c>
      <c r="B299" t="str">
        <f t="shared" si="16"/>
        <v>6</v>
      </c>
      <c r="C299" t="str">
        <f t="shared" si="17"/>
        <v>60</v>
      </c>
      <c r="D299" t="str">
        <f t="shared" si="18"/>
        <v>605</v>
      </c>
      <c r="E299" t="str">
        <f t="shared" si="19"/>
        <v>6050</v>
      </c>
      <c r="F299" s="10" t="s">
        <v>768</v>
      </c>
      <c r="G299" t="s">
        <v>769</v>
      </c>
      <c r="H299" s="5">
        <v>0</v>
      </c>
      <c r="I299" s="5">
        <v>10800</v>
      </c>
      <c r="J299" s="5">
        <v>51000</v>
      </c>
    </row>
    <row r="300" spans="1:10" x14ac:dyDescent="0.3">
      <c r="A300" t="s">
        <v>90</v>
      </c>
      <c r="B300" t="str">
        <f t="shared" si="16"/>
        <v>6</v>
      </c>
      <c r="C300" t="str">
        <f t="shared" si="17"/>
        <v>60</v>
      </c>
      <c r="D300" t="str">
        <f t="shared" si="18"/>
        <v>605</v>
      </c>
      <c r="E300" t="str">
        <f t="shared" si="19"/>
        <v>6050</v>
      </c>
      <c r="F300" s="10" t="s">
        <v>770</v>
      </c>
      <c r="G300" t="s">
        <v>771</v>
      </c>
      <c r="H300" s="5">
        <v>37400</v>
      </c>
      <c r="I300" s="5">
        <v>17200</v>
      </c>
      <c r="J300" s="5">
        <v>10400</v>
      </c>
    </row>
    <row r="301" spans="1:10" x14ac:dyDescent="0.3">
      <c r="A301" t="s">
        <v>90</v>
      </c>
      <c r="B301" t="str">
        <f t="shared" si="16"/>
        <v>6</v>
      </c>
      <c r="C301" t="str">
        <f t="shared" si="17"/>
        <v>60</v>
      </c>
      <c r="D301" t="str">
        <f t="shared" si="18"/>
        <v>605</v>
      </c>
      <c r="E301" t="str">
        <f t="shared" si="19"/>
        <v>6051</v>
      </c>
      <c r="F301" s="10" t="s">
        <v>772</v>
      </c>
      <c r="G301" t="s">
        <v>773</v>
      </c>
      <c r="H301" s="5">
        <v>0</v>
      </c>
      <c r="I301" s="5">
        <v>0</v>
      </c>
      <c r="J301" s="5">
        <v>0</v>
      </c>
    </row>
    <row r="302" spans="1:10" x14ac:dyDescent="0.3">
      <c r="A302" t="s">
        <v>90</v>
      </c>
      <c r="B302" t="str">
        <f t="shared" si="16"/>
        <v>6</v>
      </c>
      <c r="C302" t="str">
        <f t="shared" si="17"/>
        <v>60</v>
      </c>
      <c r="D302" t="str">
        <f t="shared" si="18"/>
        <v>605</v>
      </c>
      <c r="E302" t="str">
        <f t="shared" si="19"/>
        <v>6051</v>
      </c>
      <c r="F302" s="10" t="s">
        <v>774</v>
      </c>
      <c r="G302" t="s">
        <v>775</v>
      </c>
      <c r="H302" s="5">
        <v>18550</v>
      </c>
      <c r="I302" s="5">
        <v>0</v>
      </c>
      <c r="J302" s="5">
        <v>36546</v>
      </c>
    </row>
    <row r="303" spans="1:10" x14ac:dyDescent="0.3">
      <c r="A303" t="s">
        <v>90</v>
      </c>
      <c r="B303" t="str">
        <f t="shared" si="16"/>
        <v>6</v>
      </c>
      <c r="C303" t="str">
        <f t="shared" si="17"/>
        <v>60</v>
      </c>
      <c r="D303" t="str">
        <f t="shared" si="18"/>
        <v>605</v>
      </c>
      <c r="E303" t="str">
        <f t="shared" si="19"/>
        <v>6051</v>
      </c>
      <c r="F303" s="10" t="s">
        <v>776</v>
      </c>
      <c r="G303" t="s">
        <v>777</v>
      </c>
      <c r="H303" s="5">
        <v>5500</v>
      </c>
      <c r="I303" s="5">
        <v>73515</v>
      </c>
      <c r="J303" s="5">
        <v>33295</v>
      </c>
    </row>
    <row r="304" spans="1:10" x14ac:dyDescent="0.3">
      <c r="A304" t="s">
        <v>90</v>
      </c>
      <c r="B304" t="str">
        <f t="shared" si="16"/>
        <v>6</v>
      </c>
      <c r="C304" t="str">
        <f t="shared" si="17"/>
        <v>60</v>
      </c>
      <c r="D304" t="str">
        <f t="shared" si="18"/>
        <v>605</v>
      </c>
      <c r="E304" t="str">
        <f t="shared" si="19"/>
        <v>6051</v>
      </c>
      <c r="F304" s="10" t="s">
        <v>778</v>
      </c>
      <c r="G304" t="s">
        <v>779</v>
      </c>
      <c r="H304" s="5">
        <v>70239</v>
      </c>
      <c r="I304" s="5">
        <v>0</v>
      </c>
      <c r="J304" s="5">
        <v>0</v>
      </c>
    </row>
    <row r="305" spans="1:10" x14ac:dyDescent="0.3">
      <c r="A305" t="s">
        <v>90</v>
      </c>
      <c r="B305" t="str">
        <f t="shared" si="16"/>
        <v>6</v>
      </c>
      <c r="C305" t="str">
        <f t="shared" si="17"/>
        <v>60</v>
      </c>
      <c r="D305" t="str">
        <f t="shared" si="18"/>
        <v>605</v>
      </c>
      <c r="E305" t="str">
        <f t="shared" si="19"/>
        <v>6051</v>
      </c>
      <c r="F305" s="10" t="s">
        <v>780</v>
      </c>
      <c r="G305" t="s">
        <v>781</v>
      </c>
      <c r="H305" s="5">
        <v>278549</v>
      </c>
      <c r="I305" s="5">
        <v>33510</v>
      </c>
      <c r="J305" s="5">
        <v>92707</v>
      </c>
    </row>
    <row r="306" spans="1:10" x14ac:dyDescent="0.3">
      <c r="A306" t="s">
        <v>90</v>
      </c>
      <c r="B306" t="str">
        <f t="shared" si="16"/>
        <v>6</v>
      </c>
      <c r="C306" t="str">
        <f t="shared" si="17"/>
        <v>60</v>
      </c>
      <c r="D306" t="str">
        <f t="shared" si="18"/>
        <v>605</v>
      </c>
      <c r="E306" t="str">
        <f t="shared" si="19"/>
        <v>6052</v>
      </c>
      <c r="F306" s="10" t="s">
        <v>782</v>
      </c>
      <c r="G306" t="s">
        <v>783</v>
      </c>
      <c r="H306" s="5">
        <v>0</v>
      </c>
      <c r="I306" s="5">
        <v>0</v>
      </c>
      <c r="J306" s="5">
        <v>0</v>
      </c>
    </row>
    <row r="307" spans="1:10" x14ac:dyDescent="0.3">
      <c r="A307" t="s">
        <v>90</v>
      </c>
      <c r="B307" t="str">
        <f t="shared" si="16"/>
        <v>6</v>
      </c>
      <c r="C307" t="str">
        <f t="shared" si="17"/>
        <v>60</v>
      </c>
      <c r="D307" t="str">
        <f t="shared" si="18"/>
        <v>605</v>
      </c>
      <c r="E307" t="str">
        <f t="shared" si="19"/>
        <v>6052</v>
      </c>
      <c r="F307" s="10" t="s">
        <v>784</v>
      </c>
      <c r="G307" t="s">
        <v>785</v>
      </c>
      <c r="H307" s="5">
        <v>149910065</v>
      </c>
      <c r="I307" s="5">
        <v>117118490</v>
      </c>
      <c r="J307" s="5">
        <v>155530425</v>
      </c>
    </row>
    <row r="308" spans="1:10" x14ac:dyDescent="0.3">
      <c r="A308" t="s">
        <v>90</v>
      </c>
      <c r="B308" t="str">
        <f t="shared" si="16"/>
        <v>6</v>
      </c>
      <c r="C308" t="str">
        <f t="shared" si="17"/>
        <v>60</v>
      </c>
      <c r="D308" t="str">
        <f t="shared" si="18"/>
        <v>605</v>
      </c>
      <c r="E308" t="str">
        <f t="shared" si="19"/>
        <v>6052</v>
      </c>
      <c r="F308" s="10" t="s">
        <v>786</v>
      </c>
      <c r="G308" t="s">
        <v>787</v>
      </c>
      <c r="H308" s="5">
        <v>309060</v>
      </c>
      <c r="I308" s="5">
        <v>2094336</v>
      </c>
      <c r="J308" s="5">
        <v>1413340</v>
      </c>
    </row>
    <row r="309" spans="1:10" x14ac:dyDescent="0.3">
      <c r="A309" t="s">
        <v>90</v>
      </c>
      <c r="B309" t="str">
        <f t="shared" si="16"/>
        <v>6</v>
      </c>
      <c r="C309" t="str">
        <f t="shared" si="17"/>
        <v>60</v>
      </c>
      <c r="D309" t="str">
        <f t="shared" si="18"/>
        <v>605</v>
      </c>
      <c r="E309" t="str">
        <f t="shared" si="19"/>
        <v>6052</v>
      </c>
      <c r="F309" s="10" t="s">
        <v>788</v>
      </c>
      <c r="G309" t="s">
        <v>789</v>
      </c>
      <c r="H309" s="5">
        <v>4172065</v>
      </c>
      <c r="I309" s="5">
        <v>1423515</v>
      </c>
      <c r="J309" s="5">
        <v>0</v>
      </c>
    </row>
    <row r="310" spans="1:10" x14ac:dyDescent="0.3">
      <c r="A310" t="s">
        <v>90</v>
      </c>
      <c r="B310" t="str">
        <f t="shared" si="16"/>
        <v>6</v>
      </c>
      <c r="C310" t="str">
        <f t="shared" si="17"/>
        <v>60</v>
      </c>
      <c r="D310" t="str">
        <f t="shared" si="18"/>
        <v>605</v>
      </c>
      <c r="E310" t="str">
        <f t="shared" si="19"/>
        <v>6052</v>
      </c>
      <c r="F310" s="10" t="s">
        <v>790</v>
      </c>
      <c r="G310" t="s">
        <v>791</v>
      </c>
      <c r="H310" s="5">
        <v>1944655</v>
      </c>
      <c r="I310" s="5">
        <v>1746085</v>
      </c>
      <c r="J310" s="5">
        <v>1197225</v>
      </c>
    </row>
    <row r="311" spans="1:10" x14ac:dyDescent="0.3">
      <c r="A311" t="s">
        <v>90</v>
      </c>
      <c r="B311" t="str">
        <f t="shared" si="16"/>
        <v>6</v>
      </c>
      <c r="C311" t="str">
        <f t="shared" si="17"/>
        <v>60</v>
      </c>
      <c r="D311" t="str">
        <f t="shared" si="18"/>
        <v>605</v>
      </c>
      <c r="E311" t="str">
        <f t="shared" si="19"/>
        <v>6052</v>
      </c>
      <c r="F311" s="10" t="s">
        <v>792</v>
      </c>
      <c r="G311" t="s">
        <v>793</v>
      </c>
      <c r="H311" s="5">
        <v>2667010</v>
      </c>
      <c r="I311" s="5">
        <v>3442310</v>
      </c>
      <c r="J311" s="5">
        <v>1298177</v>
      </c>
    </row>
    <row r="312" spans="1:10" x14ac:dyDescent="0.3">
      <c r="A312" t="s">
        <v>90</v>
      </c>
      <c r="B312" t="str">
        <f t="shared" si="16"/>
        <v>6</v>
      </c>
      <c r="C312" t="str">
        <f t="shared" si="17"/>
        <v>60</v>
      </c>
      <c r="D312" t="str">
        <f t="shared" si="18"/>
        <v>605</v>
      </c>
      <c r="E312" t="str">
        <f t="shared" si="19"/>
        <v>6053</v>
      </c>
      <c r="F312" s="10" t="s">
        <v>794</v>
      </c>
      <c r="G312" t="s">
        <v>795</v>
      </c>
      <c r="H312" s="5">
        <v>0</v>
      </c>
      <c r="I312" s="5">
        <v>24896078</v>
      </c>
      <c r="J312" s="5">
        <v>0</v>
      </c>
    </row>
    <row r="313" spans="1:10" x14ac:dyDescent="0.3">
      <c r="A313" t="s">
        <v>90</v>
      </c>
      <c r="B313" t="str">
        <f t="shared" si="16"/>
        <v>6</v>
      </c>
      <c r="C313" t="str">
        <f t="shared" si="17"/>
        <v>60</v>
      </c>
      <c r="D313" t="str">
        <f t="shared" si="18"/>
        <v>605</v>
      </c>
      <c r="E313" t="str">
        <f t="shared" si="19"/>
        <v>6053</v>
      </c>
      <c r="F313" s="10" t="s">
        <v>796</v>
      </c>
      <c r="G313" t="s">
        <v>797</v>
      </c>
      <c r="H313" s="5">
        <v>161374578</v>
      </c>
      <c r="I313" s="5">
        <v>67476541</v>
      </c>
      <c r="J313" s="5">
        <v>85298115</v>
      </c>
    </row>
    <row r="314" spans="1:10" x14ac:dyDescent="0.3">
      <c r="A314" t="s">
        <v>90</v>
      </c>
      <c r="B314" t="str">
        <f t="shared" si="16"/>
        <v>6</v>
      </c>
      <c r="C314" t="str">
        <f t="shared" si="17"/>
        <v>60</v>
      </c>
      <c r="D314" t="str">
        <f t="shared" si="18"/>
        <v>605</v>
      </c>
      <c r="E314" t="str">
        <f t="shared" si="19"/>
        <v>6053</v>
      </c>
      <c r="F314" s="10" t="s">
        <v>798</v>
      </c>
      <c r="G314" t="s">
        <v>799</v>
      </c>
      <c r="H314" s="5">
        <v>247677258</v>
      </c>
      <c r="I314" s="5">
        <v>206372722</v>
      </c>
      <c r="J314" s="5">
        <v>266295136</v>
      </c>
    </row>
    <row r="315" spans="1:10" x14ac:dyDescent="0.3">
      <c r="A315" t="s">
        <v>90</v>
      </c>
      <c r="B315" t="str">
        <f t="shared" si="16"/>
        <v>6</v>
      </c>
      <c r="C315" t="str">
        <f t="shared" si="17"/>
        <v>60</v>
      </c>
      <c r="D315" t="str">
        <f t="shared" si="18"/>
        <v>605</v>
      </c>
      <c r="E315" t="str">
        <f t="shared" si="19"/>
        <v>6053</v>
      </c>
      <c r="F315" s="10" t="s">
        <v>800</v>
      </c>
      <c r="G315" t="s">
        <v>801</v>
      </c>
      <c r="H315" s="5">
        <v>3492041</v>
      </c>
      <c r="I315" s="5">
        <v>3033446</v>
      </c>
      <c r="J315" s="5">
        <v>2913780</v>
      </c>
    </row>
    <row r="316" spans="1:10" x14ac:dyDescent="0.3">
      <c r="A316" t="s">
        <v>90</v>
      </c>
      <c r="B316" t="str">
        <f t="shared" si="16"/>
        <v>6</v>
      </c>
      <c r="C316" t="str">
        <f t="shared" si="17"/>
        <v>60</v>
      </c>
      <c r="D316" t="str">
        <f t="shared" si="18"/>
        <v>605</v>
      </c>
      <c r="E316" t="str">
        <f t="shared" si="19"/>
        <v>6053</v>
      </c>
      <c r="F316" s="10" t="s">
        <v>802</v>
      </c>
      <c r="G316" t="s">
        <v>803</v>
      </c>
      <c r="H316" s="5">
        <v>22089233</v>
      </c>
      <c r="I316" s="5">
        <v>27946148</v>
      </c>
      <c r="J316" s="5">
        <v>27632455</v>
      </c>
    </row>
    <row r="317" spans="1:10" x14ac:dyDescent="0.3">
      <c r="A317" t="s">
        <v>90</v>
      </c>
      <c r="B317" t="str">
        <f t="shared" si="16"/>
        <v>6</v>
      </c>
      <c r="C317" t="str">
        <f t="shared" si="17"/>
        <v>60</v>
      </c>
      <c r="D317" t="str">
        <f t="shared" si="18"/>
        <v>605</v>
      </c>
      <c r="E317" t="str">
        <f t="shared" si="19"/>
        <v>6053</v>
      </c>
      <c r="F317" s="10" t="s">
        <v>804</v>
      </c>
      <c r="G317" t="s">
        <v>805</v>
      </c>
      <c r="H317" s="5">
        <v>521470</v>
      </c>
      <c r="I317" s="5">
        <v>87800</v>
      </c>
      <c r="J317" s="5">
        <v>202750</v>
      </c>
    </row>
    <row r="318" spans="1:10" x14ac:dyDescent="0.3">
      <c r="A318" t="s">
        <v>90</v>
      </c>
      <c r="B318" t="str">
        <f t="shared" si="16"/>
        <v>6</v>
      </c>
      <c r="C318" t="str">
        <f t="shared" si="17"/>
        <v>60</v>
      </c>
      <c r="D318" t="str">
        <f t="shared" si="18"/>
        <v>605</v>
      </c>
      <c r="E318" t="str">
        <f t="shared" si="19"/>
        <v>6054</v>
      </c>
      <c r="F318" s="10" t="s">
        <v>806</v>
      </c>
      <c r="G318" t="s">
        <v>807</v>
      </c>
      <c r="H318" s="5">
        <v>0</v>
      </c>
      <c r="I318" s="5">
        <v>0</v>
      </c>
      <c r="J318" s="5">
        <v>0</v>
      </c>
    </row>
    <row r="319" spans="1:10" x14ac:dyDescent="0.3">
      <c r="A319" t="s">
        <v>90</v>
      </c>
      <c r="B319" t="str">
        <f t="shared" si="16"/>
        <v>6</v>
      </c>
      <c r="C319" t="str">
        <f t="shared" si="17"/>
        <v>60</v>
      </c>
      <c r="D319" t="str">
        <f t="shared" si="18"/>
        <v>605</v>
      </c>
      <c r="E319" t="str">
        <f t="shared" si="19"/>
        <v>6054</v>
      </c>
      <c r="F319" s="10" t="s">
        <v>808</v>
      </c>
      <c r="G319" t="s">
        <v>809</v>
      </c>
      <c r="H319" s="5">
        <v>616150</v>
      </c>
      <c r="I319" s="5">
        <v>270075</v>
      </c>
      <c r="J319" s="5">
        <v>217475</v>
      </c>
    </row>
    <row r="320" spans="1:10" x14ac:dyDescent="0.3">
      <c r="A320" t="s">
        <v>90</v>
      </c>
      <c r="B320" t="str">
        <f t="shared" si="16"/>
        <v>6</v>
      </c>
      <c r="C320" t="str">
        <f t="shared" si="17"/>
        <v>60</v>
      </c>
      <c r="D320" t="str">
        <f t="shared" si="18"/>
        <v>605</v>
      </c>
      <c r="E320" t="str">
        <f t="shared" si="19"/>
        <v>6054</v>
      </c>
      <c r="F320" s="10" t="s">
        <v>810</v>
      </c>
      <c r="G320" t="s">
        <v>811</v>
      </c>
      <c r="H320" s="5">
        <v>22000</v>
      </c>
      <c r="I320" s="5">
        <v>8500</v>
      </c>
      <c r="J320" s="5">
        <v>252700</v>
      </c>
    </row>
    <row r="321" spans="1:10" x14ac:dyDescent="0.3">
      <c r="A321" t="s">
        <v>90</v>
      </c>
      <c r="B321" t="str">
        <f t="shared" si="16"/>
        <v>6</v>
      </c>
      <c r="C321" t="str">
        <f t="shared" si="17"/>
        <v>60</v>
      </c>
      <c r="D321" t="str">
        <f t="shared" si="18"/>
        <v>605</v>
      </c>
      <c r="E321" t="str">
        <f t="shared" si="19"/>
        <v>6054</v>
      </c>
      <c r="F321" s="10" t="s">
        <v>812</v>
      </c>
      <c r="G321" t="s">
        <v>813</v>
      </c>
      <c r="H321" s="5">
        <v>9000</v>
      </c>
      <c r="I321" s="5">
        <v>40200</v>
      </c>
      <c r="J321" s="5">
        <v>451300</v>
      </c>
    </row>
    <row r="322" spans="1:10" x14ac:dyDescent="0.3">
      <c r="A322" t="s">
        <v>90</v>
      </c>
      <c r="B322" t="str">
        <f t="shared" ref="B322:B385" si="20">LEFT($F322,1)</f>
        <v>6</v>
      </c>
      <c r="C322" t="str">
        <f t="shared" ref="C322:C385" si="21">LEFT($F322,2)</f>
        <v>60</v>
      </c>
      <c r="D322" t="str">
        <f t="shared" ref="D322:D385" si="22">LEFT($F322,3)</f>
        <v>605</v>
      </c>
      <c r="E322" t="str">
        <f t="shared" ref="E322:E385" si="23">LEFT($F322,4)</f>
        <v>6054</v>
      </c>
      <c r="F322" s="10" t="s">
        <v>814</v>
      </c>
      <c r="G322" t="s">
        <v>815</v>
      </c>
      <c r="H322" s="5">
        <v>336125</v>
      </c>
      <c r="I322" s="5">
        <v>334445</v>
      </c>
      <c r="J322" s="5">
        <v>228625</v>
      </c>
    </row>
    <row r="323" spans="1:10" x14ac:dyDescent="0.3">
      <c r="A323" t="s">
        <v>90</v>
      </c>
      <c r="B323" t="str">
        <f t="shared" si="20"/>
        <v>6</v>
      </c>
      <c r="C323" t="str">
        <f t="shared" si="21"/>
        <v>60</v>
      </c>
      <c r="D323" t="str">
        <f t="shared" si="22"/>
        <v>605</v>
      </c>
      <c r="E323" t="str">
        <f t="shared" si="23"/>
        <v>6055</v>
      </c>
      <c r="F323" s="10" t="s">
        <v>816</v>
      </c>
      <c r="G323" t="s">
        <v>817</v>
      </c>
      <c r="H323" s="5">
        <v>6946416</v>
      </c>
      <c r="I323" s="5">
        <v>4542100</v>
      </c>
      <c r="J323" s="5">
        <v>5261600</v>
      </c>
    </row>
    <row r="324" spans="1:10" x14ac:dyDescent="0.3">
      <c r="A324" t="s">
        <v>90</v>
      </c>
      <c r="B324" t="str">
        <f t="shared" si="20"/>
        <v>6</v>
      </c>
      <c r="C324" t="str">
        <f t="shared" si="21"/>
        <v>60</v>
      </c>
      <c r="D324" t="str">
        <f t="shared" si="22"/>
        <v>605</v>
      </c>
      <c r="E324" t="str">
        <f t="shared" si="23"/>
        <v>6055</v>
      </c>
      <c r="F324" s="10" t="s">
        <v>818</v>
      </c>
      <c r="G324" t="s">
        <v>819</v>
      </c>
      <c r="H324" s="5">
        <v>490700</v>
      </c>
      <c r="I324" s="5">
        <v>260500</v>
      </c>
      <c r="J324" s="5">
        <v>437150</v>
      </c>
    </row>
    <row r="325" spans="1:10" x14ac:dyDescent="0.3">
      <c r="A325" t="s">
        <v>90</v>
      </c>
      <c r="B325" t="str">
        <f t="shared" si="20"/>
        <v>6</v>
      </c>
      <c r="C325" t="str">
        <f t="shared" si="21"/>
        <v>60</v>
      </c>
      <c r="D325" t="str">
        <f t="shared" si="22"/>
        <v>605</v>
      </c>
      <c r="E325" t="str">
        <f t="shared" si="23"/>
        <v>6055</v>
      </c>
      <c r="F325" s="10" t="s">
        <v>820</v>
      </c>
      <c r="G325" t="s">
        <v>821</v>
      </c>
      <c r="H325" s="5">
        <v>6069000</v>
      </c>
      <c r="I325" s="5">
        <v>3287500</v>
      </c>
      <c r="J325" s="5">
        <v>4351550</v>
      </c>
    </row>
    <row r="326" spans="1:10" x14ac:dyDescent="0.3">
      <c r="A326" t="s">
        <v>90</v>
      </c>
      <c r="B326" t="str">
        <f t="shared" si="20"/>
        <v>6</v>
      </c>
      <c r="C326" t="str">
        <f t="shared" si="21"/>
        <v>60</v>
      </c>
      <c r="D326" t="str">
        <f t="shared" si="22"/>
        <v>605</v>
      </c>
      <c r="E326" t="str">
        <f t="shared" si="23"/>
        <v>6055</v>
      </c>
      <c r="F326" s="10" t="s">
        <v>822</v>
      </c>
      <c r="G326" t="s">
        <v>823</v>
      </c>
      <c r="H326" s="5">
        <v>45300</v>
      </c>
      <c r="I326" s="5">
        <v>752213</v>
      </c>
      <c r="J326" s="5">
        <v>0</v>
      </c>
    </row>
    <row r="327" spans="1:10" x14ac:dyDescent="0.3">
      <c r="A327" t="s">
        <v>90</v>
      </c>
      <c r="B327" t="str">
        <f t="shared" si="20"/>
        <v>6</v>
      </c>
      <c r="C327" t="str">
        <f t="shared" si="21"/>
        <v>60</v>
      </c>
      <c r="D327" t="str">
        <f t="shared" si="22"/>
        <v>605</v>
      </c>
      <c r="E327" t="str">
        <f t="shared" si="23"/>
        <v>6056</v>
      </c>
      <c r="F327" s="10" t="s">
        <v>824</v>
      </c>
      <c r="G327" t="s">
        <v>825</v>
      </c>
      <c r="H327" s="5">
        <v>7445572</v>
      </c>
      <c r="I327" s="5">
        <v>0</v>
      </c>
      <c r="J327" s="5">
        <v>31442068</v>
      </c>
    </row>
    <row r="328" spans="1:10" x14ac:dyDescent="0.3">
      <c r="A328" t="s">
        <v>90</v>
      </c>
      <c r="B328" t="str">
        <f t="shared" si="20"/>
        <v>6</v>
      </c>
      <c r="C328" t="str">
        <f t="shared" si="21"/>
        <v>60</v>
      </c>
      <c r="D328" t="str">
        <f t="shared" si="22"/>
        <v>605</v>
      </c>
      <c r="E328" t="str">
        <f t="shared" si="23"/>
        <v>6056</v>
      </c>
      <c r="F328" s="10" t="s">
        <v>826</v>
      </c>
      <c r="G328" t="s">
        <v>827</v>
      </c>
      <c r="H328" s="5">
        <v>277146582</v>
      </c>
      <c r="I328" s="5">
        <v>256467761</v>
      </c>
      <c r="J328" s="5">
        <v>308956703</v>
      </c>
    </row>
    <row r="329" spans="1:10" x14ac:dyDescent="0.3">
      <c r="A329" t="s">
        <v>90</v>
      </c>
      <c r="B329" t="str">
        <f t="shared" si="20"/>
        <v>6</v>
      </c>
      <c r="C329" t="str">
        <f t="shared" si="21"/>
        <v>60</v>
      </c>
      <c r="D329" t="str">
        <f t="shared" si="22"/>
        <v>605</v>
      </c>
      <c r="E329" t="str">
        <f t="shared" si="23"/>
        <v>6056</v>
      </c>
      <c r="F329" s="10" t="s">
        <v>828</v>
      </c>
      <c r="G329" t="s">
        <v>829</v>
      </c>
      <c r="H329" s="5">
        <v>4525507</v>
      </c>
      <c r="I329" s="5">
        <v>4096004</v>
      </c>
      <c r="J329" s="5">
        <v>7070264</v>
      </c>
    </row>
    <row r="330" spans="1:10" x14ac:dyDescent="0.3">
      <c r="A330" t="s">
        <v>90</v>
      </c>
      <c r="B330" t="str">
        <f t="shared" si="20"/>
        <v>6</v>
      </c>
      <c r="C330" t="str">
        <f t="shared" si="21"/>
        <v>60</v>
      </c>
      <c r="D330" t="str">
        <f t="shared" si="22"/>
        <v>605</v>
      </c>
      <c r="E330" t="str">
        <f t="shared" si="23"/>
        <v>6056</v>
      </c>
      <c r="F330" s="10" t="s">
        <v>830</v>
      </c>
      <c r="G330" t="s">
        <v>831</v>
      </c>
      <c r="H330" s="5">
        <v>2248689</v>
      </c>
      <c r="I330" s="5">
        <v>2189311</v>
      </c>
      <c r="J330" s="5">
        <v>4848186</v>
      </c>
    </row>
    <row r="331" spans="1:10" x14ac:dyDescent="0.3">
      <c r="A331" t="s">
        <v>90</v>
      </c>
      <c r="B331" t="str">
        <f t="shared" si="20"/>
        <v>6</v>
      </c>
      <c r="C331" t="str">
        <f t="shared" si="21"/>
        <v>60</v>
      </c>
      <c r="D331" t="str">
        <f t="shared" si="22"/>
        <v>605</v>
      </c>
      <c r="E331" t="str">
        <f t="shared" si="23"/>
        <v>6056</v>
      </c>
      <c r="F331" s="10" t="s">
        <v>832</v>
      </c>
      <c r="G331" t="s">
        <v>833</v>
      </c>
      <c r="H331" s="5">
        <v>6400379</v>
      </c>
      <c r="I331" s="5">
        <v>7359991</v>
      </c>
      <c r="J331" s="5">
        <v>2491890</v>
      </c>
    </row>
    <row r="332" spans="1:10" x14ac:dyDescent="0.3">
      <c r="A332" t="s">
        <v>90</v>
      </c>
      <c r="B332" t="str">
        <f t="shared" si="20"/>
        <v>6</v>
      </c>
      <c r="C332" t="str">
        <f t="shared" si="21"/>
        <v>60</v>
      </c>
      <c r="D332" t="str">
        <f t="shared" si="22"/>
        <v>605</v>
      </c>
      <c r="E332" t="str">
        <f t="shared" si="23"/>
        <v>6056</v>
      </c>
      <c r="F332" s="10" t="s">
        <v>834</v>
      </c>
      <c r="G332" t="s">
        <v>835</v>
      </c>
      <c r="H332" s="5">
        <v>773727</v>
      </c>
      <c r="I332" s="5">
        <v>2078700</v>
      </c>
      <c r="J332" s="5">
        <v>470500</v>
      </c>
    </row>
    <row r="333" spans="1:10" x14ac:dyDescent="0.3">
      <c r="A333" t="s">
        <v>90</v>
      </c>
      <c r="B333" t="str">
        <f t="shared" si="20"/>
        <v>6</v>
      </c>
      <c r="C333" t="str">
        <f t="shared" si="21"/>
        <v>60</v>
      </c>
      <c r="D333" t="str">
        <f t="shared" si="22"/>
        <v>605</v>
      </c>
      <c r="E333" t="str">
        <f t="shared" si="23"/>
        <v>6056</v>
      </c>
      <c r="F333" s="10" t="s">
        <v>836</v>
      </c>
      <c r="G333" t="s">
        <v>837</v>
      </c>
      <c r="H333" s="5">
        <v>12650447</v>
      </c>
      <c r="I333" s="5">
        <v>8385183</v>
      </c>
      <c r="J333" s="5">
        <v>14602714</v>
      </c>
    </row>
    <row r="334" spans="1:10" x14ac:dyDescent="0.3">
      <c r="A334" t="s">
        <v>90</v>
      </c>
      <c r="B334" t="str">
        <f t="shared" si="20"/>
        <v>6</v>
      </c>
      <c r="C334" t="str">
        <f t="shared" si="21"/>
        <v>60</v>
      </c>
      <c r="D334" t="str">
        <f t="shared" si="22"/>
        <v>605</v>
      </c>
      <c r="E334" t="str">
        <f t="shared" si="23"/>
        <v>6056</v>
      </c>
      <c r="F334" s="10" t="s">
        <v>838</v>
      </c>
      <c r="G334" t="s">
        <v>839</v>
      </c>
      <c r="H334" s="5">
        <v>393458655</v>
      </c>
      <c r="I334" s="5">
        <v>249249243</v>
      </c>
      <c r="J334" s="5">
        <v>232456834</v>
      </c>
    </row>
    <row r="335" spans="1:10" x14ac:dyDescent="0.3">
      <c r="A335" t="s">
        <v>90</v>
      </c>
      <c r="B335" t="str">
        <f t="shared" si="20"/>
        <v>6</v>
      </c>
      <c r="C335" t="str">
        <f t="shared" si="21"/>
        <v>60</v>
      </c>
      <c r="D335" t="str">
        <f t="shared" si="22"/>
        <v>605</v>
      </c>
      <c r="E335" t="str">
        <f t="shared" si="23"/>
        <v>6056</v>
      </c>
      <c r="F335" s="10" t="s">
        <v>840</v>
      </c>
      <c r="G335" t="s">
        <v>841</v>
      </c>
      <c r="H335" s="5">
        <v>9884546</v>
      </c>
      <c r="I335" s="5">
        <v>11615409</v>
      </c>
      <c r="J335" s="5">
        <v>12444605</v>
      </c>
    </row>
    <row r="336" spans="1:10" x14ac:dyDescent="0.3">
      <c r="A336" t="s">
        <v>90</v>
      </c>
      <c r="B336" t="str">
        <f t="shared" si="20"/>
        <v>6</v>
      </c>
      <c r="C336" t="str">
        <f t="shared" si="21"/>
        <v>60</v>
      </c>
      <c r="D336" t="str">
        <f t="shared" si="22"/>
        <v>605</v>
      </c>
      <c r="E336" t="str">
        <f t="shared" si="23"/>
        <v>6056</v>
      </c>
      <c r="F336" s="10" t="s">
        <v>842</v>
      </c>
      <c r="G336" t="s">
        <v>843</v>
      </c>
      <c r="H336" s="5">
        <v>35974143</v>
      </c>
      <c r="I336" s="5">
        <v>46934991</v>
      </c>
      <c r="J336" s="5">
        <v>60715948</v>
      </c>
    </row>
    <row r="337" spans="1:10" x14ac:dyDescent="0.3">
      <c r="A337" t="s">
        <v>90</v>
      </c>
      <c r="B337" t="str">
        <f t="shared" si="20"/>
        <v>6</v>
      </c>
      <c r="C337" t="str">
        <f t="shared" si="21"/>
        <v>60</v>
      </c>
      <c r="D337" t="str">
        <f t="shared" si="22"/>
        <v>605</v>
      </c>
      <c r="E337" t="str">
        <f t="shared" si="23"/>
        <v>6056</v>
      </c>
      <c r="F337" s="10" t="s">
        <v>844</v>
      </c>
      <c r="G337" t="s">
        <v>845</v>
      </c>
      <c r="H337" s="5">
        <v>0</v>
      </c>
      <c r="I337" s="5">
        <v>0</v>
      </c>
      <c r="J337" s="5">
        <v>100000</v>
      </c>
    </row>
    <row r="338" spans="1:10" x14ac:dyDescent="0.3">
      <c r="A338" t="s">
        <v>90</v>
      </c>
      <c r="B338" t="str">
        <f t="shared" si="20"/>
        <v>6</v>
      </c>
      <c r="C338" t="str">
        <f t="shared" si="21"/>
        <v>60</v>
      </c>
      <c r="D338" t="str">
        <f t="shared" si="22"/>
        <v>605</v>
      </c>
      <c r="E338" t="str">
        <f t="shared" si="23"/>
        <v>6056</v>
      </c>
      <c r="F338" s="10" t="s">
        <v>846</v>
      </c>
      <c r="G338" t="s">
        <v>847</v>
      </c>
      <c r="H338" s="5">
        <v>0</v>
      </c>
      <c r="I338" s="5">
        <v>0</v>
      </c>
      <c r="J338" s="5">
        <v>0</v>
      </c>
    </row>
    <row r="339" spans="1:10" x14ac:dyDescent="0.3">
      <c r="A339" t="s">
        <v>90</v>
      </c>
      <c r="B339" t="str">
        <f t="shared" si="20"/>
        <v>6</v>
      </c>
      <c r="C339" t="str">
        <f t="shared" si="21"/>
        <v>60</v>
      </c>
      <c r="D339" t="str">
        <f t="shared" si="22"/>
        <v>605</v>
      </c>
      <c r="E339" t="str">
        <f t="shared" si="23"/>
        <v>6057</v>
      </c>
      <c r="F339" s="10" t="s">
        <v>848</v>
      </c>
      <c r="G339" t="s">
        <v>849</v>
      </c>
      <c r="H339" s="5">
        <v>0</v>
      </c>
      <c r="I339" s="5">
        <v>0</v>
      </c>
      <c r="J339" s="5">
        <v>0</v>
      </c>
    </row>
    <row r="340" spans="1:10" x14ac:dyDescent="0.3">
      <c r="A340" t="s">
        <v>90</v>
      </c>
      <c r="B340" t="str">
        <f t="shared" si="20"/>
        <v>6</v>
      </c>
      <c r="C340" t="str">
        <f t="shared" si="21"/>
        <v>60</v>
      </c>
      <c r="D340" t="str">
        <f t="shared" si="22"/>
        <v>605</v>
      </c>
      <c r="E340" t="str">
        <f t="shared" si="23"/>
        <v>6057</v>
      </c>
      <c r="F340" s="10" t="s">
        <v>850</v>
      </c>
      <c r="G340" t="s">
        <v>851</v>
      </c>
      <c r="H340" s="5">
        <v>162000</v>
      </c>
      <c r="I340" s="5">
        <v>429000</v>
      </c>
      <c r="J340" s="5">
        <v>959000</v>
      </c>
    </row>
    <row r="341" spans="1:10" x14ac:dyDescent="0.3">
      <c r="A341" t="s">
        <v>90</v>
      </c>
      <c r="B341" t="str">
        <f t="shared" si="20"/>
        <v>6</v>
      </c>
      <c r="C341" t="str">
        <f t="shared" si="21"/>
        <v>60</v>
      </c>
      <c r="D341" t="str">
        <f t="shared" si="22"/>
        <v>605</v>
      </c>
      <c r="E341" t="str">
        <f t="shared" si="23"/>
        <v>6057</v>
      </c>
      <c r="F341" s="10" t="s">
        <v>852</v>
      </c>
      <c r="G341" t="s">
        <v>853</v>
      </c>
      <c r="H341" s="5">
        <v>50000</v>
      </c>
      <c r="I341" s="5">
        <v>0</v>
      </c>
      <c r="J341" s="5">
        <v>100000</v>
      </c>
    </row>
    <row r="342" spans="1:10" x14ac:dyDescent="0.3">
      <c r="A342" t="s">
        <v>90</v>
      </c>
      <c r="B342" t="str">
        <f t="shared" si="20"/>
        <v>6</v>
      </c>
      <c r="C342" t="str">
        <f t="shared" si="21"/>
        <v>60</v>
      </c>
      <c r="D342" t="str">
        <f t="shared" si="22"/>
        <v>605</v>
      </c>
      <c r="E342" t="str">
        <f t="shared" si="23"/>
        <v>6057</v>
      </c>
      <c r="F342" s="10" t="s">
        <v>854</v>
      </c>
      <c r="G342" t="s">
        <v>855</v>
      </c>
      <c r="H342" s="5">
        <v>0</v>
      </c>
      <c r="I342" s="5">
        <v>0</v>
      </c>
      <c r="J342" s="5">
        <v>0</v>
      </c>
    </row>
    <row r="343" spans="1:10" x14ac:dyDescent="0.3">
      <c r="A343" t="s">
        <v>90</v>
      </c>
      <c r="B343" t="str">
        <f t="shared" si="20"/>
        <v>6</v>
      </c>
      <c r="C343" t="str">
        <f t="shared" si="21"/>
        <v>60</v>
      </c>
      <c r="D343" t="str">
        <f t="shared" si="22"/>
        <v>605</v>
      </c>
      <c r="E343" t="str">
        <f t="shared" si="23"/>
        <v>6057</v>
      </c>
      <c r="F343" s="10" t="s">
        <v>856</v>
      </c>
      <c r="G343" t="s">
        <v>857</v>
      </c>
      <c r="H343" s="5">
        <v>0</v>
      </c>
      <c r="I343" s="5">
        <v>0</v>
      </c>
      <c r="J343" s="5">
        <v>24000</v>
      </c>
    </row>
    <row r="344" spans="1:10" x14ac:dyDescent="0.3">
      <c r="A344" t="s">
        <v>90</v>
      </c>
      <c r="B344" t="str">
        <f t="shared" si="20"/>
        <v>6</v>
      </c>
      <c r="C344" t="str">
        <f t="shared" si="21"/>
        <v>60</v>
      </c>
      <c r="D344" t="str">
        <f t="shared" si="22"/>
        <v>605</v>
      </c>
      <c r="E344" t="str">
        <f t="shared" si="23"/>
        <v>6057</v>
      </c>
      <c r="F344" s="10" t="s">
        <v>858</v>
      </c>
      <c r="G344" t="s">
        <v>859</v>
      </c>
      <c r="H344" s="5">
        <v>26000000</v>
      </c>
      <c r="I344" s="5">
        <v>0</v>
      </c>
      <c r="J344" s="5">
        <v>574650</v>
      </c>
    </row>
    <row r="345" spans="1:10" x14ac:dyDescent="0.3">
      <c r="A345" t="s">
        <v>90</v>
      </c>
      <c r="B345" t="str">
        <f t="shared" si="20"/>
        <v>6</v>
      </c>
      <c r="C345" t="str">
        <f t="shared" si="21"/>
        <v>60</v>
      </c>
      <c r="D345" t="str">
        <f t="shared" si="22"/>
        <v>605</v>
      </c>
      <c r="E345" t="str">
        <f t="shared" si="23"/>
        <v>6057</v>
      </c>
      <c r="F345" s="10" t="s">
        <v>860</v>
      </c>
      <c r="G345" t="s">
        <v>861</v>
      </c>
      <c r="H345" s="5">
        <v>0</v>
      </c>
      <c r="I345" s="5">
        <v>1550000</v>
      </c>
      <c r="J345" s="5">
        <v>214835</v>
      </c>
    </row>
    <row r="346" spans="1:10" x14ac:dyDescent="0.3">
      <c r="A346" t="s">
        <v>90</v>
      </c>
      <c r="B346" t="str">
        <f t="shared" si="20"/>
        <v>6</v>
      </c>
      <c r="C346" t="str">
        <f t="shared" si="21"/>
        <v>60</v>
      </c>
      <c r="D346" t="str">
        <f t="shared" si="22"/>
        <v>605</v>
      </c>
      <c r="E346" t="str">
        <f t="shared" si="23"/>
        <v>6058</v>
      </c>
      <c r="F346" s="10" t="s">
        <v>862</v>
      </c>
      <c r="G346" t="s">
        <v>863</v>
      </c>
      <c r="H346" s="5">
        <v>0</v>
      </c>
      <c r="I346" s="5">
        <v>0</v>
      </c>
      <c r="J346" s="5">
        <v>0</v>
      </c>
    </row>
    <row r="347" spans="1:10" x14ac:dyDescent="0.3">
      <c r="A347" t="s">
        <v>90</v>
      </c>
      <c r="B347" t="str">
        <f t="shared" si="20"/>
        <v>6</v>
      </c>
      <c r="C347" t="str">
        <f t="shared" si="21"/>
        <v>60</v>
      </c>
      <c r="D347" t="str">
        <f t="shared" si="22"/>
        <v>605</v>
      </c>
      <c r="E347" t="str">
        <f t="shared" si="23"/>
        <v>6058</v>
      </c>
      <c r="F347" s="10" t="s">
        <v>864</v>
      </c>
      <c r="G347" t="s">
        <v>865</v>
      </c>
      <c r="H347" s="5">
        <v>17823150</v>
      </c>
      <c r="I347" s="5">
        <v>8210800</v>
      </c>
      <c r="J347" s="5">
        <v>443100</v>
      </c>
    </row>
    <row r="348" spans="1:10" x14ac:dyDescent="0.3">
      <c r="A348" t="s">
        <v>90</v>
      </c>
      <c r="B348" t="str">
        <f t="shared" si="20"/>
        <v>6</v>
      </c>
      <c r="C348" t="str">
        <f t="shared" si="21"/>
        <v>60</v>
      </c>
      <c r="D348" t="str">
        <f t="shared" si="22"/>
        <v>605</v>
      </c>
      <c r="E348" t="str">
        <f t="shared" si="23"/>
        <v>6058</v>
      </c>
      <c r="F348" s="10" t="s">
        <v>866</v>
      </c>
      <c r="G348" t="s">
        <v>867</v>
      </c>
      <c r="H348" s="5">
        <v>27600</v>
      </c>
      <c r="I348" s="5">
        <v>484000</v>
      </c>
      <c r="J348" s="5">
        <v>161000</v>
      </c>
    </row>
    <row r="349" spans="1:10" x14ac:dyDescent="0.3">
      <c r="A349" t="s">
        <v>90</v>
      </c>
      <c r="B349" t="str">
        <f t="shared" si="20"/>
        <v>6</v>
      </c>
      <c r="C349" t="str">
        <f t="shared" si="21"/>
        <v>60</v>
      </c>
      <c r="D349" t="str">
        <f t="shared" si="22"/>
        <v>605</v>
      </c>
      <c r="E349" t="str">
        <f t="shared" si="23"/>
        <v>6058</v>
      </c>
      <c r="F349" s="10" t="s">
        <v>868</v>
      </c>
      <c r="G349" t="s">
        <v>869</v>
      </c>
      <c r="H349" s="5">
        <v>972500</v>
      </c>
      <c r="I349" s="5">
        <v>35000</v>
      </c>
      <c r="J349" s="5">
        <v>0</v>
      </c>
    </row>
    <row r="350" spans="1:10" x14ac:dyDescent="0.3">
      <c r="A350" t="s">
        <v>90</v>
      </c>
      <c r="B350" t="str">
        <f t="shared" si="20"/>
        <v>6</v>
      </c>
      <c r="C350" t="str">
        <f t="shared" si="21"/>
        <v>60</v>
      </c>
      <c r="D350" t="str">
        <f t="shared" si="22"/>
        <v>605</v>
      </c>
      <c r="E350" t="str">
        <f t="shared" si="23"/>
        <v>6058</v>
      </c>
      <c r="F350" s="10" t="s">
        <v>870</v>
      </c>
      <c r="G350" t="s">
        <v>871</v>
      </c>
      <c r="H350" s="5">
        <v>0</v>
      </c>
      <c r="I350" s="5">
        <v>389000</v>
      </c>
      <c r="J350" s="5">
        <v>0</v>
      </c>
    </row>
    <row r="351" spans="1:10" x14ac:dyDescent="0.3">
      <c r="A351" t="s">
        <v>90</v>
      </c>
      <c r="B351" t="str">
        <f t="shared" si="20"/>
        <v>6</v>
      </c>
      <c r="C351" t="str">
        <f t="shared" si="21"/>
        <v>60</v>
      </c>
      <c r="D351" t="str">
        <f t="shared" si="22"/>
        <v>605</v>
      </c>
      <c r="E351" t="str">
        <f t="shared" si="23"/>
        <v>6058</v>
      </c>
      <c r="F351" s="10" t="s">
        <v>872</v>
      </c>
      <c r="G351" t="s">
        <v>873</v>
      </c>
      <c r="H351" s="5">
        <v>0</v>
      </c>
      <c r="I351" s="5">
        <v>0</v>
      </c>
      <c r="J351" s="5">
        <v>0</v>
      </c>
    </row>
    <row r="352" spans="1:10" x14ac:dyDescent="0.3">
      <c r="A352" t="s">
        <v>94</v>
      </c>
      <c r="B352" t="str">
        <f t="shared" si="20"/>
        <v>6</v>
      </c>
      <c r="C352" t="str">
        <f t="shared" si="21"/>
        <v>61</v>
      </c>
      <c r="D352" t="str">
        <f t="shared" si="22"/>
        <v>611</v>
      </c>
      <c r="E352" t="str">
        <f t="shared" si="23"/>
        <v>6110</v>
      </c>
      <c r="F352" s="10" t="s">
        <v>874</v>
      </c>
      <c r="G352" t="s">
        <v>875</v>
      </c>
      <c r="H352" s="5">
        <v>0</v>
      </c>
      <c r="I352" s="5">
        <v>0</v>
      </c>
      <c r="J352" s="5">
        <v>0</v>
      </c>
    </row>
    <row r="353" spans="1:10" x14ac:dyDescent="0.3">
      <c r="A353" t="s">
        <v>94</v>
      </c>
      <c r="B353" t="str">
        <f t="shared" si="20"/>
        <v>6</v>
      </c>
      <c r="C353" t="str">
        <f t="shared" si="21"/>
        <v>61</v>
      </c>
      <c r="D353" t="str">
        <f t="shared" si="22"/>
        <v>611</v>
      </c>
      <c r="E353" t="str">
        <f t="shared" si="23"/>
        <v>6111</v>
      </c>
      <c r="F353" s="10" t="s">
        <v>876</v>
      </c>
      <c r="G353" t="s">
        <v>877</v>
      </c>
      <c r="H353" s="5">
        <v>0</v>
      </c>
      <c r="I353" s="5">
        <v>240000</v>
      </c>
      <c r="J353" s="5">
        <v>0</v>
      </c>
    </row>
    <row r="354" spans="1:10" x14ac:dyDescent="0.3">
      <c r="A354" t="s">
        <v>94</v>
      </c>
      <c r="B354" t="str">
        <f t="shared" si="20"/>
        <v>6</v>
      </c>
      <c r="C354" t="str">
        <f t="shared" si="21"/>
        <v>61</v>
      </c>
      <c r="D354" t="str">
        <f t="shared" si="22"/>
        <v>611</v>
      </c>
      <c r="E354" t="str">
        <f t="shared" si="23"/>
        <v>6111</v>
      </c>
      <c r="F354" s="10" t="s">
        <v>878</v>
      </c>
      <c r="G354" t="s">
        <v>879</v>
      </c>
      <c r="H354" s="5">
        <v>0</v>
      </c>
      <c r="I354" s="5">
        <v>0</v>
      </c>
      <c r="J354" s="5">
        <v>0</v>
      </c>
    </row>
    <row r="355" spans="1:10" x14ac:dyDescent="0.3">
      <c r="A355" t="s">
        <v>94</v>
      </c>
      <c r="B355" t="str">
        <f t="shared" si="20"/>
        <v>6</v>
      </c>
      <c r="C355" t="str">
        <f t="shared" si="21"/>
        <v>61</v>
      </c>
      <c r="D355" t="str">
        <f t="shared" si="22"/>
        <v>611</v>
      </c>
      <c r="E355" t="str">
        <f t="shared" si="23"/>
        <v>6111</v>
      </c>
      <c r="F355" s="10" t="s">
        <v>880</v>
      </c>
      <c r="G355" t="s">
        <v>881</v>
      </c>
      <c r="H355" s="5">
        <v>0</v>
      </c>
      <c r="I355" s="5">
        <v>0</v>
      </c>
      <c r="J355" s="5">
        <v>0</v>
      </c>
    </row>
    <row r="356" spans="1:10" x14ac:dyDescent="0.3">
      <c r="A356" t="s">
        <v>94</v>
      </c>
      <c r="B356" t="str">
        <f t="shared" si="20"/>
        <v>6</v>
      </c>
      <c r="C356" t="str">
        <f t="shared" si="21"/>
        <v>61</v>
      </c>
      <c r="D356" t="str">
        <f t="shared" si="22"/>
        <v>611</v>
      </c>
      <c r="E356" t="str">
        <f t="shared" si="23"/>
        <v>6111</v>
      </c>
      <c r="F356" s="10" t="s">
        <v>882</v>
      </c>
      <c r="G356" t="s">
        <v>883</v>
      </c>
      <c r="H356" s="5">
        <v>0</v>
      </c>
      <c r="I356" s="5">
        <v>0</v>
      </c>
      <c r="J356" s="5">
        <v>0</v>
      </c>
    </row>
    <row r="357" spans="1:10" x14ac:dyDescent="0.3">
      <c r="A357" t="s">
        <v>94</v>
      </c>
      <c r="B357" t="str">
        <f t="shared" si="20"/>
        <v>6</v>
      </c>
      <c r="C357" t="str">
        <f t="shared" si="21"/>
        <v>61</v>
      </c>
      <c r="D357" t="str">
        <f t="shared" si="22"/>
        <v>612</v>
      </c>
      <c r="E357" t="str">
        <f t="shared" si="23"/>
        <v>6120</v>
      </c>
      <c r="F357" s="10" t="s">
        <v>884</v>
      </c>
      <c r="G357" t="s">
        <v>885</v>
      </c>
      <c r="H357" s="5">
        <v>0</v>
      </c>
      <c r="I357" s="5">
        <v>80496420</v>
      </c>
      <c r="J357" s="5">
        <v>149475393</v>
      </c>
    </row>
    <row r="358" spans="1:10" x14ac:dyDescent="0.3">
      <c r="A358" t="s">
        <v>94</v>
      </c>
      <c r="B358" t="str">
        <f t="shared" si="20"/>
        <v>6</v>
      </c>
      <c r="C358" t="str">
        <f t="shared" si="21"/>
        <v>61</v>
      </c>
      <c r="D358" t="str">
        <f t="shared" si="22"/>
        <v>614</v>
      </c>
      <c r="E358" t="str">
        <f t="shared" si="23"/>
        <v>6140</v>
      </c>
      <c r="F358" s="10" t="s">
        <v>886</v>
      </c>
      <c r="G358" t="s">
        <v>887</v>
      </c>
      <c r="H358" s="5">
        <v>0</v>
      </c>
      <c r="I358" s="5">
        <v>0</v>
      </c>
      <c r="J358" s="5">
        <v>0</v>
      </c>
    </row>
    <row r="359" spans="1:10" x14ac:dyDescent="0.3">
      <c r="A359" t="s">
        <v>94</v>
      </c>
      <c r="B359" t="str">
        <f t="shared" si="20"/>
        <v>6</v>
      </c>
      <c r="C359" t="str">
        <f t="shared" si="21"/>
        <v>61</v>
      </c>
      <c r="D359" t="str">
        <f t="shared" si="22"/>
        <v>614</v>
      </c>
      <c r="E359" t="str">
        <f t="shared" si="23"/>
        <v>6140</v>
      </c>
      <c r="F359" s="10" t="s">
        <v>888</v>
      </c>
      <c r="G359" t="s">
        <v>889</v>
      </c>
      <c r="H359" s="5">
        <v>4575000</v>
      </c>
      <c r="I359" s="5">
        <v>4530000</v>
      </c>
      <c r="J359" s="5">
        <v>4530000</v>
      </c>
    </row>
    <row r="360" spans="1:10" x14ac:dyDescent="0.3">
      <c r="A360" t="s">
        <v>94</v>
      </c>
      <c r="B360" t="str">
        <f t="shared" si="20"/>
        <v>6</v>
      </c>
      <c r="C360" t="str">
        <f t="shared" si="21"/>
        <v>61</v>
      </c>
      <c r="D360" t="str">
        <f t="shared" si="22"/>
        <v>616</v>
      </c>
      <c r="E360" t="str">
        <f t="shared" si="23"/>
        <v>6161</v>
      </c>
      <c r="F360" s="10" t="s">
        <v>890</v>
      </c>
      <c r="G360" t="s">
        <v>891</v>
      </c>
      <c r="H360" s="5">
        <v>0</v>
      </c>
      <c r="I360" s="5">
        <v>0</v>
      </c>
      <c r="J360" s="5">
        <v>0</v>
      </c>
    </row>
    <row r="361" spans="1:10" x14ac:dyDescent="0.3">
      <c r="A361" t="s">
        <v>94</v>
      </c>
      <c r="B361" t="str">
        <f t="shared" si="20"/>
        <v>6</v>
      </c>
      <c r="C361" t="str">
        <f t="shared" si="21"/>
        <v>61</v>
      </c>
      <c r="D361" t="str">
        <f t="shared" si="22"/>
        <v>618</v>
      </c>
      <c r="E361" t="str">
        <f t="shared" si="23"/>
        <v>6180</v>
      </c>
      <c r="F361" s="10" t="s">
        <v>892</v>
      </c>
      <c r="G361" t="s">
        <v>893</v>
      </c>
      <c r="H361" s="5">
        <v>0</v>
      </c>
      <c r="I361" s="5">
        <v>0</v>
      </c>
      <c r="J361" s="5">
        <v>0</v>
      </c>
    </row>
    <row r="362" spans="1:10" x14ac:dyDescent="0.3">
      <c r="A362" t="s">
        <v>94</v>
      </c>
      <c r="B362" t="str">
        <f t="shared" si="20"/>
        <v>6</v>
      </c>
      <c r="C362" t="str">
        <f t="shared" si="21"/>
        <v>61</v>
      </c>
      <c r="D362" t="str">
        <f t="shared" si="22"/>
        <v>618</v>
      </c>
      <c r="E362" t="str">
        <f t="shared" si="23"/>
        <v>6181</v>
      </c>
      <c r="F362" s="10" t="s">
        <v>894</v>
      </c>
      <c r="G362" t="s">
        <v>895</v>
      </c>
      <c r="H362" s="5">
        <v>0</v>
      </c>
      <c r="I362" s="5">
        <v>0</v>
      </c>
      <c r="J362" s="5">
        <v>0</v>
      </c>
    </row>
    <row r="363" spans="1:10" x14ac:dyDescent="0.3">
      <c r="A363" t="s">
        <v>94</v>
      </c>
      <c r="B363" t="str">
        <f t="shared" si="20"/>
        <v>6</v>
      </c>
      <c r="C363" t="str">
        <f t="shared" si="21"/>
        <v>61</v>
      </c>
      <c r="D363" t="str">
        <f t="shared" si="22"/>
        <v>618</v>
      </c>
      <c r="E363" t="str">
        <f t="shared" si="23"/>
        <v>6181</v>
      </c>
      <c r="F363" s="10" t="s">
        <v>896</v>
      </c>
      <c r="G363" t="s">
        <v>897</v>
      </c>
      <c r="H363" s="5">
        <v>1056507</v>
      </c>
      <c r="I363" s="5">
        <v>0</v>
      </c>
      <c r="J363" s="5">
        <v>3875000</v>
      </c>
    </row>
    <row r="364" spans="1:10" x14ac:dyDescent="0.3">
      <c r="A364" t="s">
        <v>94</v>
      </c>
      <c r="B364" t="str">
        <f t="shared" si="20"/>
        <v>6</v>
      </c>
      <c r="C364" t="str">
        <f t="shared" si="21"/>
        <v>61</v>
      </c>
      <c r="D364" t="str">
        <f t="shared" si="22"/>
        <v>618</v>
      </c>
      <c r="E364" t="str">
        <f t="shared" si="23"/>
        <v>6181</v>
      </c>
      <c r="F364" s="10" t="s">
        <v>898</v>
      </c>
      <c r="G364" t="s">
        <v>899</v>
      </c>
      <c r="H364" s="5">
        <v>0</v>
      </c>
      <c r="I364" s="5">
        <v>0</v>
      </c>
      <c r="J364" s="5">
        <v>0</v>
      </c>
    </row>
    <row r="365" spans="1:10" x14ac:dyDescent="0.3">
      <c r="A365" t="s">
        <v>94</v>
      </c>
      <c r="B365" t="str">
        <f t="shared" si="20"/>
        <v>6</v>
      </c>
      <c r="C365" t="str">
        <f t="shared" si="21"/>
        <v>61</v>
      </c>
      <c r="D365" t="str">
        <f t="shared" si="22"/>
        <v>618</v>
      </c>
      <c r="E365" t="str">
        <f t="shared" si="23"/>
        <v>6181</v>
      </c>
      <c r="F365" s="10" t="s">
        <v>900</v>
      </c>
      <c r="G365" t="s">
        <v>901</v>
      </c>
      <c r="H365" s="5">
        <v>3774900</v>
      </c>
      <c r="I365" s="5">
        <v>1684500</v>
      </c>
      <c r="J365" s="5">
        <v>0</v>
      </c>
    </row>
    <row r="366" spans="1:10" x14ac:dyDescent="0.3">
      <c r="A366" t="s">
        <v>94</v>
      </c>
      <c r="B366" t="str">
        <f t="shared" si="20"/>
        <v>6</v>
      </c>
      <c r="C366" t="str">
        <f t="shared" si="21"/>
        <v>61</v>
      </c>
      <c r="D366" t="str">
        <f t="shared" si="22"/>
        <v>618</v>
      </c>
      <c r="E366" t="str">
        <f t="shared" si="23"/>
        <v>6181</v>
      </c>
      <c r="F366" s="10" t="s">
        <v>902</v>
      </c>
      <c r="G366" t="s">
        <v>903</v>
      </c>
      <c r="H366" s="5">
        <v>24019000</v>
      </c>
      <c r="I366" s="5">
        <v>30906496</v>
      </c>
      <c r="J366" s="5">
        <v>14588400</v>
      </c>
    </row>
    <row r="367" spans="1:10" x14ac:dyDescent="0.3">
      <c r="A367" t="s">
        <v>94</v>
      </c>
      <c r="B367" t="str">
        <f t="shared" si="20"/>
        <v>6</v>
      </c>
      <c r="C367" t="str">
        <f t="shared" si="21"/>
        <v>61</v>
      </c>
      <c r="D367" t="str">
        <f t="shared" si="22"/>
        <v>618</v>
      </c>
      <c r="E367" t="str">
        <f t="shared" si="23"/>
        <v>6183</v>
      </c>
      <c r="F367" s="10" t="s">
        <v>904</v>
      </c>
      <c r="G367" t="s">
        <v>905</v>
      </c>
      <c r="H367" s="5">
        <v>42000</v>
      </c>
      <c r="I367" s="5">
        <v>26000</v>
      </c>
      <c r="J367" s="5">
        <v>0</v>
      </c>
    </row>
    <row r="368" spans="1:10" x14ac:dyDescent="0.3">
      <c r="A368" t="s">
        <v>94</v>
      </c>
      <c r="B368" t="str">
        <f t="shared" si="20"/>
        <v>6</v>
      </c>
      <c r="C368" t="str">
        <f t="shared" si="21"/>
        <v>61</v>
      </c>
      <c r="D368" t="str">
        <f t="shared" si="22"/>
        <v>618</v>
      </c>
      <c r="E368" t="str">
        <f t="shared" si="23"/>
        <v>6183</v>
      </c>
      <c r="F368" s="10" t="s">
        <v>906</v>
      </c>
      <c r="G368" t="s">
        <v>907</v>
      </c>
      <c r="H368" s="5">
        <v>30000</v>
      </c>
      <c r="I368" s="5">
        <v>0</v>
      </c>
      <c r="J368" s="5">
        <v>0</v>
      </c>
    </row>
    <row r="369" spans="1:10" x14ac:dyDescent="0.3">
      <c r="A369" t="s">
        <v>94</v>
      </c>
      <c r="B369" t="str">
        <f t="shared" si="20"/>
        <v>6</v>
      </c>
      <c r="C369" t="str">
        <f t="shared" si="21"/>
        <v>61</v>
      </c>
      <c r="D369" t="str">
        <f t="shared" si="22"/>
        <v>618</v>
      </c>
      <c r="E369" t="str">
        <f t="shared" si="23"/>
        <v>6183</v>
      </c>
      <c r="F369" s="10" t="s">
        <v>908</v>
      </c>
      <c r="G369" t="s">
        <v>909</v>
      </c>
      <c r="H369" s="5">
        <v>67000</v>
      </c>
      <c r="I369" s="5">
        <v>33000</v>
      </c>
      <c r="J369" s="5">
        <v>0</v>
      </c>
    </row>
    <row r="370" spans="1:10" x14ac:dyDescent="0.3">
      <c r="A370" t="s">
        <v>94</v>
      </c>
      <c r="B370" t="str">
        <f t="shared" si="20"/>
        <v>6</v>
      </c>
      <c r="C370" t="str">
        <f t="shared" si="21"/>
        <v>61</v>
      </c>
      <c r="D370" t="str">
        <f t="shared" si="22"/>
        <v>618</v>
      </c>
      <c r="E370" t="str">
        <f t="shared" si="23"/>
        <v>6183</v>
      </c>
      <c r="F370" s="10" t="s">
        <v>910</v>
      </c>
      <c r="G370" t="s">
        <v>911</v>
      </c>
      <c r="H370" s="5">
        <v>1058882</v>
      </c>
      <c r="I370" s="5">
        <v>330000</v>
      </c>
      <c r="J370" s="5">
        <v>234300</v>
      </c>
    </row>
    <row r="371" spans="1:10" x14ac:dyDescent="0.3">
      <c r="A371" t="s">
        <v>94</v>
      </c>
      <c r="B371" t="str">
        <f t="shared" si="20"/>
        <v>6</v>
      </c>
      <c r="C371" t="str">
        <f t="shared" si="21"/>
        <v>61</v>
      </c>
      <c r="D371" t="str">
        <f t="shared" si="22"/>
        <v>618</v>
      </c>
      <c r="E371" t="str">
        <f t="shared" si="23"/>
        <v>6183</v>
      </c>
      <c r="F371" s="10" t="s">
        <v>912</v>
      </c>
      <c r="G371" t="s">
        <v>913</v>
      </c>
      <c r="H371" s="5">
        <v>210000</v>
      </c>
      <c r="I371" s="5">
        <v>780000</v>
      </c>
      <c r="J371" s="5">
        <v>0</v>
      </c>
    </row>
    <row r="372" spans="1:10" x14ac:dyDescent="0.3">
      <c r="A372" t="s">
        <v>100</v>
      </c>
      <c r="B372" t="str">
        <f t="shared" si="20"/>
        <v>6</v>
      </c>
      <c r="C372" t="str">
        <f t="shared" si="21"/>
        <v>62</v>
      </c>
      <c r="D372" t="str">
        <f t="shared" si="22"/>
        <v>622</v>
      </c>
      <c r="E372" t="str">
        <f t="shared" si="23"/>
        <v>6221</v>
      </c>
      <c r="F372" s="10" t="s">
        <v>914</v>
      </c>
      <c r="G372" t="s">
        <v>915</v>
      </c>
      <c r="H372" s="5">
        <v>1700000</v>
      </c>
      <c r="I372" s="5">
        <v>10200000</v>
      </c>
      <c r="J372" s="5">
        <v>4550000</v>
      </c>
    </row>
    <row r="373" spans="1:10" x14ac:dyDescent="0.3">
      <c r="A373" t="s">
        <v>100</v>
      </c>
      <c r="B373" t="str">
        <f t="shared" si="20"/>
        <v>6</v>
      </c>
      <c r="C373" t="str">
        <f t="shared" si="21"/>
        <v>62</v>
      </c>
      <c r="D373" t="str">
        <f t="shared" si="22"/>
        <v>622</v>
      </c>
      <c r="E373" t="str">
        <f t="shared" si="23"/>
        <v>6221</v>
      </c>
      <c r="F373" s="10" t="s">
        <v>916</v>
      </c>
      <c r="G373" t="s">
        <v>917</v>
      </c>
      <c r="H373" s="5">
        <v>18600000</v>
      </c>
      <c r="I373" s="5">
        <v>18600000</v>
      </c>
      <c r="J373" s="5">
        <v>16781952</v>
      </c>
    </row>
    <row r="374" spans="1:10" x14ac:dyDescent="0.3">
      <c r="A374" t="s">
        <v>100</v>
      </c>
      <c r="B374" t="str">
        <f t="shared" si="20"/>
        <v>6</v>
      </c>
      <c r="C374" t="str">
        <f t="shared" si="21"/>
        <v>62</v>
      </c>
      <c r="D374" t="str">
        <f t="shared" si="22"/>
        <v>622</v>
      </c>
      <c r="E374" t="str">
        <f t="shared" si="23"/>
        <v>6221</v>
      </c>
      <c r="F374" s="10" t="s">
        <v>918</v>
      </c>
      <c r="G374" t="s">
        <v>919</v>
      </c>
      <c r="H374" s="5">
        <v>2800000</v>
      </c>
      <c r="I374" s="5">
        <v>2100000</v>
      </c>
      <c r="J374" s="5">
        <v>0</v>
      </c>
    </row>
    <row r="375" spans="1:10" x14ac:dyDescent="0.3">
      <c r="A375" t="s">
        <v>100</v>
      </c>
      <c r="B375" t="str">
        <f t="shared" si="20"/>
        <v>6</v>
      </c>
      <c r="C375" t="str">
        <f t="shared" si="21"/>
        <v>62</v>
      </c>
      <c r="D375" t="str">
        <f t="shared" si="22"/>
        <v>622</v>
      </c>
      <c r="E375" t="str">
        <f t="shared" si="23"/>
        <v>6221</v>
      </c>
      <c r="F375" s="10" t="s">
        <v>920</v>
      </c>
      <c r="G375" t="s">
        <v>921</v>
      </c>
      <c r="H375" s="5">
        <v>19908541</v>
      </c>
      <c r="I375" s="5">
        <v>9064202</v>
      </c>
      <c r="J375" s="5">
        <v>14108590</v>
      </c>
    </row>
    <row r="376" spans="1:10" x14ac:dyDescent="0.3">
      <c r="A376" t="s">
        <v>100</v>
      </c>
      <c r="B376" t="str">
        <f t="shared" si="20"/>
        <v>6</v>
      </c>
      <c r="C376" t="str">
        <f t="shared" si="21"/>
        <v>62</v>
      </c>
      <c r="D376" t="str">
        <f t="shared" si="22"/>
        <v>622</v>
      </c>
      <c r="E376" t="str">
        <f t="shared" si="23"/>
        <v>6221</v>
      </c>
      <c r="F376" s="10" t="s">
        <v>922</v>
      </c>
      <c r="G376" t="s">
        <v>923</v>
      </c>
      <c r="H376" s="5">
        <v>12803800</v>
      </c>
      <c r="I376" s="5">
        <v>6449910</v>
      </c>
      <c r="J376" s="5">
        <v>4795990</v>
      </c>
    </row>
    <row r="377" spans="1:10" x14ac:dyDescent="0.3">
      <c r="A377" t="s">
        <v>100</v>
      </c>
      <c r="B377" t="str">
        <f t="shared" si="20"/>
        <v>6</v>
      </c>
      <c r="C377" t="str">
        <f t="shared" si="21"/>
        <v>62</v>
      </c>
      <c r="D377" t="str">
        <f t="shared" si="22"/>
        <v>622</v>
      </c>
      <c r="E377" t="str">
        <f t="shared" si="23"/>
        <v>6221</v>
      </c>
      <c r="F377" s="10" t="s">
        <v>924</v>
      </c>
      <c r="G377" t="s">
        <v>925</v>
      </c>
      <c r="H377" s="5">
        <v>8307390</v>
      </c>
      <c r="I377" s="5">
        <v>4099060</v>
      </c>
      <c r="J377" s="5">
        <v>0</v>
      </c>
    </row>
    <row r="378" spans="1:10" x14ac:dyDescent="0.3">
      <c r="A378" t="s">
        <v>100</v>
      </c>
      <c r="B378" t="str">
        <f t="shared" si="20"/>
        <v>6</v>
      </c>
      <c r="C378" t="str">
        <f t="shared" si="21"/>
        <v>62</v>
      </c>
      <c r="D378" t="str">
        <f t="shared" si="22"/>
        <v>622</v>
      </c>
      <c r="E378" t="str">
        <f t="shared" si="23"/>
        <v>6221</v>
      </c>
      <c r="F378" s="10" t="s">
        <v>926</v>
      </c>
      <c r="G378" t="s">
        <v>927</v>
      </c>
      <c r="H378" s="5">
        <v>0</v>
      </c>
      <c r="I378" s="5">
        <v>20430</v>
      </c>
      <c r="J378" s="5">
        <v>2032650</v>
      </c>
    </row>
    <row r="379" spans="1:10" x14ac:dyDescent="0.3">
      <c r="A379" t="s">
        <v>100</v>
      </c>
      <c r="B379" t="str">
        <f t="shared" si="20"/>
        <v>6</v>
      </c>
      <c r="C379" t="str">
        <f t="shared" si="21"/>
        <v>62</v>
      </c>
      <c r="D379" t="str">
        <f t="shared" si="22"/>
        <v>622</v>
      </c>
      <c r="E379" t="str">
        <f t="shared" si="23"/>
        <v>6221</v>
      </c>
      <c r="F379" s="10" t="s">
        <v>928</v>
      </c>
      <c r="G379" t="s">
        <v>929</v>
      </c>
      <c r="H379" s="5">
        <v>15002560</v>
      </c>
      <c r="I379" s="5">
        <v>8467320</v>
      </c>
      <c r="J379" s="5">
        <v>12462320</v>
      </c>
    </row>
    <row r="380" spans="1:10" x14ac:dyDescent="0.3">
      <c r="A380" t="s">
        <v>100</v>
      </c>
      <c r="B380" t="str">
        <f t="shared" si="20"/>
        <v>6</v>
      </c>
      <c r="C380" t="str">
        <f t="shared" si="21"/>
        <v>62</v>
      </c>
      <c r="D380" t="str">
        <f t="shared" si="22"/>
        <v>622</v>
      </c>
      <c r="E380" t="str">
        <f t="shared" si="23"/>
        <v>6221</v>
      </c>
      <c r="F380" s="10" t="s">
        <v>930</v>
      </c>
      <c r="G380" t="s">
        <v>931</v>
      </c>
      <c r="H380" s="5">
        <v>0</v>
      </c>
      <c r="I380" s="5">
        <v>71500</v>
      </c>
      <c r="J380" s="5">
        <v>8952790</v>
      </c>
    </row>
    <row r="381" spans="1:10" x14ac:dyDescent="0.3">
      <c r="A381" t="s">
        <v>100</v>
      </c>
      <c r="B381" t="str">
        <f t="shared" si="20"/>
        <v>6</v>
      </c>
      <c r="C381" t="str">
        <f t="shared" si="21"/>
        <v>62</v>
      </c>
      <c r="D381" t="str">
        <f t="shared" si="22"/>
        <v>622</v>
      </c>
      <c r="E381" t="str">
        <f t="shared" si="23"/>
        <v>6222</v>
      </c>
      <c r="F381" s="10" t="s">
        <v>932</v>
      </c>
      <c r="G381" t="s">
        <v>933</v>
      </c>
      <c r="H381" s="5">
        <v>16457500</v>
      </c>
      <c r="I381" s="5">
        <v>25500000</v>
      </c>
      <c r="J381" s="5">
        <v>0</v>
      </c>
    </row>
    <row r="382" spans="1:10" x14ac:dyDescent="0.3">
      <c r="A382" t="s">
        <v>100</v>
      </c>
      <c r="B382" t="str">
        <f t="shared" si="20"/>
        <v>6</v>
      </c>
      <c r="C382" t="str">
        <f t="shared" si="21"/>
        <v>62</v>
      </c>
      <c r="D382" t="str">
        <f t="shared" si="22"/>
        <v>622</v>
      </c>
      <c r="E382" t="str">
        <f t="shared" si="23"/>
        <v>6222</v>
      </c>
      <c r="F382" s="10" t="s">
        <v>934</v>
      </c>
      <c r="G382" t="s">
        <v>935</v>
      </c>
      <c r="H382" s="5">
        <v>0</v>
      </c>
      <c r="I382" s="5">
        <v>0</v>
      </c>
      <c r="J382" s="5">
        <v>0</v>
      </c>
    </row>
    <row r="383" spans="1:10" x14ac:dyDescent="0.3">
      <c r="A383" t="s">
        <v>100</v>
      </c>
      <c r="B383" t="str">
        <f t="shared" si="20"/>
        <v>6</v>
      </c>
      <c r="C383" t="str">
        <f t="shared" si="21"/>
        <v>62</v>
      </c>
      <c r="D383" t="str">
        <f t="shared" si="22"/>
        <v>622</v>
      </c>
      <c r="E383" t="str">
        <f t="shared" si="23"/>
        <v>6222</v>
      </c>
      <c r="F383" s="10" t="s">
        <v>936</v>
      </c>
      <c r="G383" t="s">
        <v>937</v>
      </c>
      <c r="H383" s="5">
        <v>293860544</v>
      </c>
      <c r="I383" s="5">
        <v>250362972</v>
      </c>
      <c r="J383" s="5">
        <v>233440551</v>
      </c>
    </row>
    <row r="384" spans="1:10" x14ac:dyDescent="0.3">
      <c r="A384" t="s">
        <v>100</v>
      </c>
      <c r="B384" t="str">
        <f t="shared" si="20"/>
        <v>6</v>
      </c>
      <c r="C384" t="str">
        <f t="shared" si="21"/>
        <v>62</v>
      </c>
      <c r="D384" t="str">
        <f t="shared" si="22"/>
        <v>622</v>
      </c>
      <c r="E384" t="str">
        <f t="shared" si="23"/>
        <v>6223</v>
      </c>
      <c r="F384" s="10" t="s">
        <v>938</v>
      </c>
      <c r="G384" t="s">
        <v>939</v>
      </c>
      <c r="H384" s="5">
        <v>0</v>
      </c>
      <c r="I384" s="5">
        <v>0</v>
      </c>
      <c r="J384" s="5">
        <v>0</v>
      </c>
    </row>
    <row r="385" spans="1:10" x14ac:dyDescent="0.3">
      <c r="A385" t="s">
        <v>100</v>
      </c>
      <c r="B385" t="str">
        <f t="shared" si="20"/>
        <v>6</v>
      </c>
      <c r="C385" t="str">
        <f t="shared" si="21"/>
        <v>62</v>
      </c>
      <c r="D385" t="str">
        <f t="shared" si="22"/>
        <v>622</v>
      </c>
      <c r="E385" t="str">
        <f t="shared" si="23"/>
        <v>6223</v>
      </c>
      <c r="F385" s="10" t="s">
        <v>940</v>
      </c>
      <c r="G385" t="s">
        <v>941</v>
      </c>
      <c r="H385" s="5">
        <v>52500</v>
      </c>
      <c r="I385" s="5">
        <v>80000</v>
      </c>
      <c r="J385" s="5">
        <v>0</v>
      </c>
    </row>
    <row r="386" spans="1:10" x14ac:dyDescent="0.3">
      <c r="A386" t="s">
        <v>100</v>
      </c>
      <c r="B386" t="str">
        <f t="shared" ref="B386:B449" si="24">LEFT($F386,1)</f>
        <v>6</v>
      </c>
      <c r="C386" t="str">
        <f t="shared" ref="C386:C449" si="25">LEFT($F386,2)</f>
        <v>62</v>
      </c>
      <c r="D386" t="str">
        <f t="shared" ref="D386:D449" si="26">LEFT($F386,3)</f>
        <v>622</v>
      </c>
      <c r="E386" t="str">
        <f t="shared" ref="E386:E449" si="27">LEFT($F386,4)</f>
        <v>6223</v>
      </c>
      <c r="F386" s="10" t="s">
        <v>942</v>
      </c>
      <c r="G386" t="s">
        <v>943</v>
      </c>
      <c r="H386" s="5">
        <v>139500</v>
      </c>
      <c r="I386" s="5">
        <v>0</v>
      </c>
      <c r="J386" s="5">
        <v>160000</v>
      </c>
    </row>
    <row r="387" spans="1:10" x14ac:dyDescent="0.3">
      <c r="A387" t="s">
        <v>100</v>
      </c>
      <c r="B387" t="str">
        <f t="shared" si="24"/>
        <v>6</v>
      </c>
      <c r="C387" t="str">
        <f t="shared" si="25"/>
        <v>62</v>
      </c>
      <c r="D387" t="str">
        <f t="shared" si="26"/>
        <v>622</v>
      </c>
      <c r="E387" t="str">
        <f t="shared" si="27"/>
        <v>6223</v>
      </c>
      <c r="F387" s="10" t="s">
        <v>944</v>
      </c>
      <c r="G387" t="s">
        <v>945</v>
      </c>
      <c r="H387" s="5">
        <v>660000</v>
      </c>
      <c r="I387" s="5">
        <v>0</v>
      </c>
      <c r="J387" s="5">
        <v>0</v>
      </c>
    </row>
    <row r="388" spans="1:10" x14ac:dyDescent="0.3">
      <c r="A388" t="s">
        <v>100</v>
      </c>
      <c r="B388" t="str">
        <f t="shared" si="24"/>
        <v>6</v>
      </c>
      <c r="C388" t="str">
        <f t="shared" si="25"/>
        <v>62</v>
      </c>
      <c r="D388" t="str">
        <f t="shared" si="26"/>
        <v>622</v>
      </c>
      <c r="E388" t="str">
        <f t="shared" si="27"/>
        <v>6223</v>
      </c>
      <c r="F388" s="10" t="s">
        <v>946</v>
      </c>
      <c r="G388" t="s">
        <v>947</v>
      </c>
      <c r="H388" s="5">
        <v>229000</v>
      </c>
      <c r="I388" s="5">
        <v>195180</v>
      </c>
      <c r="J388" s="5">
        <v>0</v>
      </c>
    </row>
    <row r="389" spans="1:10" x14ac:dyDescent="0.3">
      <c r="A389" t="s">
        <v>100</v>
      </c>
      <c r="B389" t="str">
        <f t="shared" si="24"/>
        <v>6</v>
      </c>
      <c r="C389" t="str">
        <f t="shared" si="25"/>
        <v>62</v>
      </c>
      <c r="D389" t="str">
        <f t="shared" si="26"/>
        <v>622</v>
      </c>
      <c r="E389" t="str">
        <f t="shared" si="27"/>
        <v>6226</v>
      </c>
      <c r="F389" s="10" t="s">
        <v>948</v>
      </c>
      <c r="G389" t="s">
        <v>949</v>
      </c>
      <c r="H389" s="5">
        <v>0</v>
      </c>
      <c r="I389" s="5">
        <v>0</v>
      </c>
      <c r="J389" s="5">
        <v>4150000</v>
      </c>
    </row>
    <row r="390" spans="1:10" x14ac:dyDescent="0.3">
      <c r="A390" t="s">
        <v>100</v>
      </c>
      <c r="B390" t="str">
        <f t="shared" si="24"/>
        <v>6</v>
      </c>
      <c r="C390" t="str">
        <f t="shared" si="25"/>
        <v>62</v>
      </c>
      <c r="D390" t="str">
        <f t="shared" si="26"/>
        <v>622</v>
      </c>
      <c r="E390" t="str">
        <f t="shared" si="27"/>
        <v>6226</v>
      </c>
      <c r="F390" s="10" t="s">
        <v>950</v>
      </c>
      <c r="G390" t="s">
        <v>951</v>
      </c>
      <c r="H390" s="5">
        <v>4845000</v>
      </c>
      <c r="I390" s="5">
        <v>5900000</v>
      </c>
      <c r="J390" s="5">
        <v>5090000</v>
      </c>
    </row>
    <row r="391" spans="1:10" x14ac:dyDescent="0.3">
      <c r="A391" t="s">
        <v>100</v>
      </c>
      <c r="B391" t="str">
        <f t="shared" si="24"/>
        <v>6</v>
      </c>
      <c r="C391" t="str">
        <f t="shared" si="25"/>
        <v>62</v>
      </c>
      <c r="D391" t="str">
        <f t="shared" si="26"/>
        <v>622</v>
      </c>
      <c r="E391" t="str">
        <f t="shared" si="27"/>
        <v>6226</v>
      </c>
      <c r="F391" s="10" t="s">
        <v>952</v>
      </c>
      <c r="G391" t="s">
        <v>953</v>
      </c>
      <c r="H391" s="5">
        <v>7000000</v>
      </c>
      <c r="I391" s="5">
        <v>2750000</v>
      </c>
      <c r="J391" s="5">
        <v>0</v>
      </c>
    </row>
    <row r="392" spans="1:10" x14ac:dyDescent="0.3">
      <c r="A392" t="s">
        <v>100</v>
      </c>
      <c r="B392" t="str">
        <f t="shared" si="24"/>
        <v>6</v>
      </c>
      <c r="C392" t="str">
        <f t="shared" si="25"/>
        <v>62</v>
      </c>
      <c r="D392" t="str">
        <f t="shared" si="26"/>
        <v>622</v>
      </c>
      <c r="E392" t="str">
        <f t="shared" si="27"/>
        <v>6226</v>
      </c>
      <c r="F392" s="10" t="s">
        <v>954</v>
      </c>
      <c r="G392" t="s">
        <v>955</v>
      </c>
      <c r="H392" s="5">
        <v>22790130</v>
      </c>
      <c r="I392" s="5">
        <v>20460000</v>
      </c>
      <c r="J392" s="5">
        <v>25460000</v>
      </c>
    </row>
    <row r="393" spans="1:10" x14ac:dyDescent="0.3">
      <c r="A393" t="s">
        <v>100</v>
      </c>
      <c r="B393" t="str">
        <f t="shared" si="24"/>
        <v>6</v>
      </c>
      <c r="C393" t="str">
        <f t="shared" si="25"/>
        <v>62</v>
      </c>
      <c r="D393" t="str">
        <f t="shared" si="26"/>
        <v>622</v>
      </c>
      <c r="E393" t="str">
        <f t="shared" si="27"/>
        <v>6226</v>
      </c>
      <c r="F393" s="10" t="s">
        <v>956</v>
      </c>
      <c r="G393" t="s">
        <v>957</v>
      </c>
      <c r="H393" s="5">
        <v>985000</v>
      </c>
      <c r="I393" s="5">
        <v>250000</v>
      </c>
      <c r="J393" s="5">
        <v>1215000</v>
      </c>
    </row>
    <row r="394" spans="1:10" x14ac:dyDescent="0.3">
      <c r="A394" t="s">
        <v>100</v>
      </c>
      <c r="B394" t="str">
        <f t="shared" si="24"/>
        <v>6</v>
      </c>
      <c r="C394" t="str">
        <f t="shared" si="25"/>
        <v>62</v>
      </c>
      <c r="D394" t="str">
        <f t="shared" si="26"/>
        <v>622</v>
      </c>
      <c r="E394" t="str">
        <f t="shared" si="27"/>
        <v>6227</v>
      </c>
      <c r="F394" s="10" t="s">
        <v>958</v>
      </c>
      <c r="G394" t="s">
        <v>959</v>
      </c>
      <c r="H394" s="5">
        <v>316252945</v>
      </c>
      <c r="I394" s="5">
        <v>70015256</v>
      </c>
      <c r="J394" s="5">
        <v>326623612</v>
      </c>
    </row>
    <row r="395" spans="1:10" x14ac:dyDescent="0.3">
      <c r="A395" t="s">
        <v>100</v>
      </c>
      <c r="B395" t="str">
        <f t="shared" si="24"/>
        <v>6</v>
      </c>
      <c r="C395" t="str">
        <f t="shared" si="25"/>
        <v>62</v>
      </c>
      <c r="D395" t="str">
        <f t="shared" si="26"/>
        <v>622</v>
      </c>
      <c r="E395" t="str">
        <f t="shared" si="27"/>
        <v>6227</v>
      </c>
      <c r="F395" s="10" t="s">
        <v>960</v>
      </c>
      <c r="G395" t="s">
        <v>961</v>
      </c>
      <c r="H395" s="5">
        <v>102783200</v>
      </c>
      <c r="I395" s="5">
        <v>61801334</v>
      </c>
      <c r="J395" s="5">
        <v>70729302</v>
      </c>
    </row>
    <row r="396" spans="1:10" x14ac:dyDescent="0.3">
      <c r="A396" t="s">
        <v>100</v>
      </c>
      <c r="B396" t="str">
        <f t="shared" si="24"/>
        <v>6</v>
      </c>
      <c r="C396" t="str">
        <f t="shared" si="25"/>
        <v>62</v>
      </c>
      <c r="D396" t="str">
        <f t="shared" si="26"/>
        <v>622</v>
      </c>
      <c r="E396" t="str">
        <f t="shared" si="27"/>
        <v>6227</v>
      </c>
      <c r="F396" s="10" t="s">
        <v>962</v>
      </c>
      <c r="G396" t="s">
        <v>963</v>
      </c>
      <c r="H396" s="5">
        <v>0</v>
      </c>
      <c r="I396" s="5">
        <v>161460</v>
      </c>
      <c r="J396" s="5">
        <v>270000</v>
      </c>
    </row>
    <row r="397" spans="1:10" x14ac:dyDescent="0.3">
      <c r="A397" t="s">
        <v>100</v>
      </c>
      <c r="B397" t="str">
        <f t="shared" si="24"/>
        <v>6</v>
      </c>
      <c r="C397" t="str">
        <f t="shared" si="25"/>
        <v>62</v>
      </c>
      <c r="D397" t="str">
        <f t="shared" si="26"/>
        <v>622</v>
      </c>
      <c r="E397" t="str">
        <f t="shared" si="27"/>
        <v>6227</v>
      </c>
      <c r="F397" s="10" t="s">
        <v>964</v>
      </c>
      <c r="G397" t="s">
        <v>965</v>
      </c>
      <c r="H397" s="5">
        <v>0</v>
      </c>
      <c r="I397" s="5">
        <v>0</v>
      </c>
      <c r="J397" s="5">
        <v>0</v>
      </c>
    </row>
    <row r="398" spans="1:10" x14ac:dyDescent="0.3">
      <c r="A398" t="s">
        <v>100</v>
      </c>
      <c r="B398" t="str">
        <f t="shared" si="24"/>
        <v>6</v>
      </c>
      <c r="C398" t="str">
        <f t="shared" si="25"/>
        <v>62</v>
      </c>
      <c r="D398" t="str">
        <f t="shared" si="26"/>
        <v>622</v>
      </c>
      <c r="E398" t="str">
        <f t="shared" si="27"/>
        <v>6227</v>
      </c>
      <c r="F398" s="10" t="s">
        <v>966</v>
      </c>
      <c r="G398" t="s">
        <v>967</v>
      </c>
      <c r="H398" s="5">
        <v>91962500</v>
      </c>
      <c r="I398" s="5">
        <v>36347500</v>
      </c>
      <c r="J398" s="5">
        <v>45469500</v>
      </c>
    </row>
    <row r="399" spans="1:10" x14ac:dyDescent="0.3">
      <c r="A399" t="s">
        <v>100</v>
      </c>
      <c r="B399" t="str">
        <f t="shared" si="24"/>
        <v>6</v>
      </c>
      <c r="C399" t="str">
        <f t="shared" si="25"/>
        <v>62</v>
      </c>
      <c r="D399" t="str">
        <f t="shared" si="26"/>
        <v>622</v>
      </c>
      <c r="E399" t="str">
        <f t="shared" si="27"/>
        <v>6227</v>
      </c>
      <c r="F399" s="10" t="s">
        <v>968</v>
      </c>
      <c r="G399" t="s">
        <v>969</v>
      </c>
      <c r="H399" s="5">
        <v>1806000</v>
      </c>
      <c r="I399" s="5">
        <v>3393880</v>
      </c>
      <c r="J399" s="5">
        <v>3831000</v>
      </c>
    </row>
    <row r="400" spans="1:10" x14ac:dyDescent="0.3">
      <c r="A400" t="s">
        <v>100</v>
      </c>
      <c r="B400" t="str">
        <f t="shared" si="24"/>
        <v>6</v>
      </c>
      <c r="C400" t="str">
        <f t="shared" si="25"/>
        <v>62</v>
      </c>
      <c r="D400" t="str">
        <f t="shared" si="26"/>
        <v>622</v>
      </c>
      <c r="E400" t="str">
        <f t="shared" si="27"/>
        <v>6227</v>
      </c>
      <c r="F400" s="10" t="s">
        <v>970</v>
      </c>
      <c r="G400" t="s">
        <v>971</v>
      </c>
      <c r="H400" s="5">
        <v>1185000</v>
      </c>
      <c r="I400" s="5">
        <v>1835500</v>
      </c>
      <c r="J400" s="5">
        <v>1073450</v>
      </c>
    </row>
    <row r="401" spans="1:10" x14ac:dyDescent="0.3">
      <c r="A401" t="s">
        <v>100</v>
      </c>
      <c r="B401" t="str">
        <f t="shared" si="24"/>
        <v>6</v>
      </c>
      <c r="C401" t="str">
        <f t="shared" si="25"/>
        <v>62</v>
      </c>
      <c r="D401" t="str">
        <f t="shared" si="26"/>
        <v>622</v>
      </c>
      <c r="E401" t="str">
        <f t="shared" si="27"/>
        <v>6227</v>
      </c>
      <c r="F401" s="10" t="s">
        <v>972</v>
      </c>
      <c r="G401" t="s">
        <v>973</v>
      </c>
      <c r="H401" s="5">
        <v>200837</v>
      </c>
      <c r="I401" s="5">
        <v>200000</v>
      </c>
      <c r="J401" s="5">
        <v>0</v>
      </c>
    </row>
    <row r="402" spans="1:10" x14ac:dyDescent="0.3">
      <c r="A402" t="s">
        <v>103</v>
      </c>
      <c r="B402" t="str">
        <f t="shared" si="24"/>
        <v>6</v>
      </c>
      <c r="C402" t="str">
        <f t="shared" si="25"/>
        <v>62</v>
      </c>
      <c r="D402" t="str">
        <f t="shared" si="26"/>
        <v>624</v>
      </c>
      <c r="E402" t="str">
        <f t="shared" si="27"/>
        <v>6243</v>
      </c>
      <c r="F402" s="10" t="s">
        <v>974</v>
      </c>
      <c r="G402" t="s">
        <v>975</v>
      </c>
      <c r="H402" s="5">
        <v>163679075</v>
      </c>
      <c r="I402" s="5">
        <v>84246465</v>
      </c>
      <c r="J402" s="5">
        <v>63061607</v>
      </c>
    </row>
    <row r="403" spans="1:10" x14ac:dyDescent="0.3">
      <c r="A403" t="s">
        <v>103</v>
      </c>
      <c r="B403" t="str">
        <f t="shared" si="24"/>
        <v>6</v>
      </c>
      <c r="C403" t="str">
        <f t="shared" si="25"/>
        <v>62</v>
      </c>
      <c r="D403" t="str">
        <f t="shared" si="26"/>
        <v>624</v>
      </c>
      <c r="E403" t="str">
        <f t="shared" si="27"/>
        <v>6243</v>
      </c>
      <c r="F403" s="10" t="s">
        <v>976</v>
      </c>
      <c r="G403" t="s">
        <v>977</v>
      </c>
      <c r="H403" s="5">
        <v>0</v>
      </c>
      <c r="I403" s="5">
        <v>0</v>
      </c>
      <c r="J403" s="5">
        <v>0</v>
      </c>
    </row>
    <row r="404" spans="1:10" x14ac:dyDescent="0.3">
      <c r="A404" t="s">
        <v>103</v>
      </c>
      <c r="B404" t="str">
        <f t="shared" si="24"/>
        <v>6</v>
      </c>
      <c r="C404" t="str">
        <f t="shared" si="25"/>
        <v>62</v>
      </c>
      <c r="D404" t="str">
        <f t="shared" si="26"/>
        <v>624</v>
      </c>
      <c r="E404" t="str">
        <f t="shared" si="27"/>
        <v>6243</v>
      </c>
      <c r="F404" s="10" t="s">
        <v>978</v>
      </c>
      <c r="G404" t="s">
        <v>979</v>
      </c>
      <c r="H404" s="5">
        <v>0</v>
      </c>
      <c r="I404" s="5">
        <v>200000</v>
      </c>
      <c r="J404" s="5">
        <v>4519900</v>
      </c>
    </row>
    <row r="405" spans="1:10" x14ac:dyDescent="0.3">
      <c r="A405" t="s">
        <v>103</v>
      </c>
      <c r="B405" t="str">
        <f t="shared" si="24"/>
        <v>6</v>
      </c>
      <c r="C405" t="str">
        <f t="shared" si="25"/>
        <v>62</v>
      </c>
      <c r="D405" t="str">
        <f t="shared" si="26"/>
        <v>624</v>
      </c>
      <c r="E405" t="str">
        <f t="shared" si="27"/>
        <v>6243</v>
      </c>
      <c r="F405" s="10" t="s">
        <v>980</v>
      </c>
      <c r="G405" t="s">
        <v>981</v>
      </c>
      <c r="H405" s="5">
        <v>0</v>
      </c>
      <c r="I405" s="5">
        <v>0</v>
      </c>
      <c r="J405" s="5">
        <v>3275000</v>
      </c>
    </row>
    <row r="406" spans="1:10" x14ac:dyDescent="0.3">
      <c r="A406" t="s">
        <v>103</v>
      </c>
      <c r="B406" t="str">
        <f t="shared" si="24"/>
        <v>6</v>
      </c>
      <c r="C406" t="str">
        <f t="shared" si="25"/>
        <v>62</v>
      </c>
      <c r="D406" t="str">
        <f t="shared" si="26"/>
        <v>624</v>
      </c>
      <c r="E406" t="str">
        <f t="shared" si="27"/>
        <v>6243</v>
      </c>
      <c r="F406" s="10" t="s">
        <v>982</v>
      </c>
      <c r="G406" t="s">
        <v>983</v>
      </c>
      <c r="H406" s="5">
        <v>0</v>
      </c>
      <c r="I406" s="5">
        <v>75000</v>
      </c>
      <c r="J406" s="5">
        <v>0</v>
      </c>
    </row>
    <row r="407" spans="1:10" x14ac:dyDescent="0.3">
      <c r="A407" t="s">
        <v>103</v>
      </c>
      <c r="B407" t="str">
        <f t="shared" si="24"/>
        <v>6</v>
      </c>
      <c r="C407" t="str">
        <f t="shared" si="25"/>
        <v>62</v>
      </c>
      <c r="D407" t="str">
        <f t="shared" si="26"/>
        <v>624</v>
      </c>
      <c r="E407" t="str">
        <f t="shared" si="27"/>
        <v>6243</v>
      </c>
      <c r="F407" s="10" t="s">
        <v>984</v>
      </c>
      <c r="G407" t="s">
        <v>985</v>
      </c>
      <c r="H407" s="5">
        <v>0</v>
      </c>
      <c r="I407" s="5">
        <v>150000</v>
      </c>
      <c r="J407" s="5">
        <v>0</v>
      </c>
    </row>
    <row r="408" spans="1:10" x14ac:dyDescent="0.3">
      <c r="A408" t="s">
        <v>103</v>
      </c>
      <c r="B408" t="str">
        <f t="shared" si="24"/>
        <v>6</v>
      </c>
      <c r="C408" t="str">
        <f t="shared" si="25"/>
        <v>62</v>
      </c>
      <c r="D408" t="str">
        <f t="shared" si="26"/>
        <v>624</v>
      </c>
      <c r="E408" t="str">
        <f t="shared" si="27"/>
        <v>6243</v>
      </c>
      <c r="F408" s="10" t="s">
        <v>986</v>
      </c>
      <c r="G408" t="s">
        <v>987</v>
      </c>
      <c r="H408" s="5">
        <v>345000</v>
      </c>
      <c r="I408" s="5">
        <v>510400</v>
      </c>
      <c r="J408" s="5">
        <v>285000</v>
      </c>
    </row>
    <row r="409" spans="1:10" x14ac:dyDescent="0.3">
      <c r="A409" t="s">
        <v>103</v>
      </c>
      <c r="B409" t="str">
        <f t="shared" si="24"/>
        <v>6</v>
      </c>
      <c r="C409" t="str">
        <f t="shared" si="25"/>
        <v>62</v>
      </c>
      <c r="D409" t="str">
        <f t="shared" si="26"/>
        <v>624</v>
      </c>
      <c r="E409" t="str">
        <f t="shared" si="27"/>
        <v>6243</v>
      </c>
      <c r="F409" s="10" t="s">
        <v>988</v>
      </c>
      <c r="G409" t="s">
        <v>977</v>
      </c>
      <c r="H409" s="5">
        <v>0</v>
      </c>
      <c r="I409" s="5">
        <v>0</v>
      </c>
      <c r="J409" s="5">
        <v>0</v>
      </c>
    </row>
    <row r="410" spans="1:10" x14ac:dyDescent="0.3">
      <c r="A410" t="s">
        <v>103</v>
      </c>
      <c r="B410" t="str">
        <f t="shared" si="24"/>
        <v>6</v>
      </c>
      <c r="C410" t="str">
        <f t="shared" si="25"/>
        <v>62</v>
      </c>
      <c r="D410" t="str">
        <f t="shared" si="26"/>
        <v>624</v>
      </c>
      <c r="E410" t="str">
        <f t="shared" si="27"/>
        <v>6243</v>
      </c>
      <c r="F410" s="10" t="s">
        <v>989</v>
      </c>
      <c r="G410" t="s">
        <v>990</v>
      </c>
      <c r="H410" s="5">
        <v>15773465</v>
      </c>
      <c r="I410" s="5">
        <v>19076060</v>
      </c>
      <c r="J410" s="5">
        <v>12519195</v>
      </c>
    </row>
    <row r="411" spans="1:10" x14ac:dyDescent="0.3">
      <c r="A411" t="s">
        <v>103</v>
      </c>
      <c r="B411" t="str">
        <f t="shared" si="24"/>
        <v>6</v>
      </c>
      <c r="C411" t="str">
        <f t="shared" si="25"/>
        <v>62</v>
      </c>
      <c r="D411" t="str">
        <f t="shared" si="26"/>
        <v>624</v>
      </c>
      <c r="E411" t="str">
        <f t="shared" si="27"/>
        <v>6243</v>
      </c>
      <c r="F411" s="10" t="s">
        <v>991</v>
      </c>
      <c r="G411" t="s">
        <v>992</v>
      </c>
      <c r="H411" s="5">
        <v>115887525</v>
      </c>
      <c r="I411" s="5">
        <v>133070160</v>
      </c>
      <c r="J411" s="5">
        <v>157190510</v>
      </c>
    </row>
    <row r="412" spans="1:10" x14ac:dyDescent="0.3">
      <c r="A412" t="s">
        <v>103</v>
      </c>
      <c r="B412" t="str">
        <f t="shared" si="24"/>
        <v>6</v>
      </c>
      <c r="C412" t="str">
        <f t="shared" si="25"/>
        <v>62</v>
      </c>
      <c r="D412" t="str">
        <f t="shared" si="26"/>
        <v>624</v>
      </c>
      <c r="E412" t="str">
        <f t="shared" si="27"/>
        <v>6244</v>
      </c>
      <c r="F412" s="10" t="s">
        <v>993</v>
      </c>
      <c r="G412" t="s">
        <v>994</v>
      </c>
      <c r="H412" s="5">
        <v>185000</v>
      </c>
      <c r="I412" s="5">
        <v>418000</v>
      </c>
      <c r="J412" s="5">
        <v>563000</v>
      </c>
    </row>
    <row r="413" spans="1:10" x14ac:dyDescent="0.3">
      <c r="A413" t="s">
        <v>103</v>
      </c>
      <c r="B413" t="str">
        <f t="shared" si="24"/>
        <v>6</v>
      </c>
      <c r="C413" t="str">
        <f t="shared" si="25"/>
        <v>62</v>
      </c>
      <c r="D413" t="str">
        <f t="shared" si="26"/>
        <v>624</v>
      </c>
      <c r="E413" t="str">
        <f t="shared" si="27"/>
        <v>6244</v>
      </c>
      <c r="F413" s="10" t="s">
        <v>995</v>
      </c>
      <c r="G413" t="s">
        <v>996</v>
      </c>
      <c r="H413" s="5">
        <v>3181855</v>
      </c>
      <c r="I413" s="5">
        <v>2498390</v>
      </c>
      <c r="J413" s="5">
        <v>22832161</v>
      </c>
    </row>
    <row r="414" spans="1:10" x14ac:dyDescent="0.3">
      <c r="A414" t="s">
        <v>103</v>
      </c>
      <c r="B414" t="str">
        <f t="shared" si="24"/>
        <v>6</v>
      </c>
      <c r="C414" t="str">
        <f t="shared" si="25"/>
        <v>62</v>
      </c>
      <c r="D414" t="str">
        <f t="shared" si="26"/>
        <v>624</v>
      </c>
      <c r="E414" t="str">
        <f t="shared" si="27"/>
        <v>6244</v>
      </c>
      <c r="F414" s="10" t="s">
        <v>997</v>
      </c>
      <c r="G414" t="s">
        <v>998</v>
      </c>
      <c r="H414" s="5">
        <v>545200</v>
      </c>
      <c r="I414" s="5">
        <v>2395700</v>
      </c>
      <c r="J414" s="5">
        <v>2350500</v>
      </c>
    </row>
    <row r="415" spans="1:10" x14ac:dyDescent="0.3">
      <c r="A415" t="s">
        <v>103</v>
      </c>
      <c r="B415" t="str">
        <f t="shared" si="24"/>
        <v>6</v>
      </c>
      <c r="C415" t="str">
        <f t="shared" si="25"/>
        <v>62</v>
      </c>
      <c r="D415" t="str">
        <f t="shared" si="26"/>
        <v>624</v>
      </c>
      <c r="E415" t="str">
        <f t="shared" si="27"/>
        <v>6244</v>
      </c>
      <c r="F415" s="10" t="s">
        <v>999</v>
      </c>
      <c r="G415" t="s">
        <v>1000</v>
      </c>
      <c r="H415" s="5">
        <v>2478000</v>
      </c>
      <c r="I415" s="5">
        <v>216000</v>
      </c>
      <c r="J415" s="5">
        <v>305000</v>
      </c>
    </row>
    <row r="416" spans="1:10" x14ac:dyDescent="0.3">
      <c r="A416" t="s">
        <v>103</v>
      </c>
      <c r="B416" t="str">
        <f t="shared" si="24"/>
        <v>6</v>
      </c>
      <c r="C416" t="str">
        <f t="shared" si="25"/>
        <v>62</v>
      </c>
      <c r="D416" t="str">
        <f t="shared" si="26"/>
        <v>624</v>
      </c>
      <c r="E416" t="str">
        <f t="shared" si="27"/>
        <v>6244</v>
      </c>
      <c r="F416" s="10" t="s">
        <v>1001</v>
      </c>
      <c r="G416" t="s">
        <v>994</v>
      </c>
      <c r="H416" s="5">
        <v>1620000</v>
      </c>
      <c r="I416" s="5">
        <v>193200</v>
      </c>
      <c r="J416" s="5">
        <v>496000</v>
      </c>
    </row>
    <row r="417" spans="1:10" x14ac:dyDescent="0.3">
      <c r="A417" t="s">
        <v>103</v>
      </c>
      <c r="B417" t="str">
        <f t="shared" si="24"/>
        <v>6</v>
      </c>
      <c r="C417" t="str">
        <f t="shared" si="25"/>
        <v>62</v>
      </c>
      <c r="D417" t="str">
        <f t="shared" si="26"/>
        <v>624</v>
      </c>
      <c r="E417" t="str">
        <f t="shared" si="27"/>
        <v>6244</v>
      </c>
      <c r="F417" s="10" t="s">
        <v>1002</v>
      </c>
      <c r="G417" t="s">
        <v>1003</v>
      </c>
      <c r="H417" s="5">
        <v>124246632</v>
      </c>
      <c r="I417" s="5">
        <v>72658600</v>
      </c>
      <c r="J417" s="5">
        <v>89104830</v>
      </c>
    </row>
    <row r="418" spans="1:10" x14ac:dyDescent="0.3">
      <c r="A418" t="s">
        <v>103</v>
      </c>
      <c r="B418" t="str">
        <f t="shared" si="24"/>
        <v>6</v>
      </c>
      <c r="C418" t="str">
        <f t="shared" si="25"/>
        <v>62</v>
      </c>
      <c r="D418" t="str">
        <f t="shared" si="26"/>
        <v>624</v>
      </c>
      <c r="E418" t="str">
        <f t="shared" si="27"/>
        <v>6244</v>
      </c>
      <c r="F418" s="10" t="s">
        <v>1004</v>
      </c>
      <c r="G418" t="s">
        <v>1005</v>
      </c>
      <c r="H418" s="5">
        <v>801000</v>
      </c>
      <c r="I418" s="5">
        <v>5000</v>
      </c>
      <c r="J418" s="5">
        <v>10000</v>
      </c>
    </row>
    <row r="419" spans="1:10" x14ac:dyDescent="0.3">
      <c r="A419" t="s">
        <v>103</v>
      </c>
      <c r="B419" t="str">
        <f t="shared" si="24"/>
        <v>6</v>
      </c>
      <c r="C419" t="str">
        <f t="shared" si="25"/>
        <v>62</v>
      </c>
      <c r="D419" t="str">
        <f t="shared" si="26"/>
        <v>624</v>
      </c>
      <c r="E419" t="str">
        <f t="shared" si="27"/>
        <v>6248</v>
      </c>
      <c r="F419" s="10" t="s">
        <v>1006</v>
      </c>
      <c r="G419" t="s">
        <v>1007</v>
      </c>
      <c r="H419" s="5">
        <v>0</v>
      </c>
      <c r="I419" s="5">
        <v>65187</v>
      </c>
      <c r="J419" s="5">
        <v>495032</v>
      </c>
    </row>
    <row r="420" spans="1:10" x14ac:dyDescent="0.3">
      <c r="A420" t="s">
        <v>103</v>
      </c>
      <c r="B420" t="str">
        <f t="shared" si="24"/>
        <v>6</v>
      </c>
      <c r="C420" t="str">
        <f t="shared" si="25"/>
        <v>62</v>
      </c>
      <c r="D420" t="str">
        <f t="shared" si="26"/>
        <v>624</v>
      </c>
      <c r="E420" t="str">
        <f t="shared" si="27"/>
        <v>6248</v>
      </c>
      <c r="F420" s="10" t="s">
        <v>1008</v>
      </c>
      <c r="G420" t="s">
        <v>1009</v>
      </c>
      <c r="H420" s="5">
        <v>13564118</v>
      </c>
      <c r="I420" s="5">
        <v>17870287</v>
      </c>
      <c r="J420" s="5">
        <v>15732727</v>
      </c>
    </row>
    <row r="421" spans="1:10" x14ac:dyDescent="0.3">
      <c r="A421" t="s">
        <v>103</v>
      </c>
      <c r="B421" t="str">
        <f t="shared" si="24"/>
        <v>6</v>
      </c>
      <c r="C421" t="str">
        <f t="shared" si="25"/>
        <v>62</v>
      </c>
      <c r="D421" t="str">
        <f t="shared" si="26"/>
        <v>624</v>
      </c>
      <c r="E421" t="str">
        <f t="shared" si="27"/>
        <v>6248</v>
      </c>
      <c r="F421" s="10" t="s">
        <v>1010</v>
      </c>
      <c r="G421" t="s">
        <v>1011</v>
      </c>
      <c r="H421" s="5">
        <v>43431462</v>
      </c>
      <c r="I421" s="5">
        <v>80592627</v>
      </c>
      <c r="J421" s="5">
        <v>94391041</v>
      </c>
    </row>
    <row r="422" spans="1:10" x14ac:dyDescent="0.3">
      <c r="A422" t="s">
        <v>103</v>
      </c>
      <c r="B422" t="str">
        <f t="shared" si="24"/>
        <v>6</v>
      </c>
      <c r="C422" t="str">
        <f t="shared" si="25"/>
        <v>62</v>
      </c>
      <c r="D422" t="str">
        <f t="shared" si="26"/>
        <v>624</v>
      </c>
      <c r="E422" t="str">
        <f t="shared" si="27"/>
        <v>6248</v>
      </c>
      <c r="F422" s="10" t="s">
        <v>1012</v>
      </c>
      <c r="G422" t="s">
        <v>1013</v>
      </c>
      <c r="H422" s="5">
        <v>1659598</v>
      </c>
      <c r="I422" s="5">
        <v>2926186</v>
      </c>
      <c r="J422" s="5">
        <v>1515022</v>
      </c>
    </row>
    <row r="423" spans="1:10" x14ac:dyDescent="0.3">
      <c r="A423" t="s">
        <v>103</v>
      </c>
      <c r="B423" t="str">
        <f t="shared" si="24"/>
        <v>6</v>
      </c>
      <c r="C423" t="str">
        <f t="shared" si="25"/>
        <v>62</v>
      </c>
      <c r="D423" t="str">
        <f t="shared" si="26"/>
        <v>624</v>
      </c>
      <c r="E423" t="str">
        <f t="shared" si="27"/>
        <v>6248</v>
      </c>
      <c r="F423" s="10" t="s">
        <v>1014</v>
      </c>
      <c r="G423" t="s">
        <v>1015</v>
      </c>
      <c r="H423" s="5">
        <v>24452801</v>
      </c>
      <c r="I423" s="5">
        <v>24023124</v>
      </c>
      <c r="J423" s="5">
        <v>23281552</v>
      </c>
    </row>
    <row r="424" spans="1:10" x14ac:dyDescent="0.3">
      <c r="A424" t="s">
        <v>105</v>
      </c>
      <c r="B424" t="str">
        <f t="shared" si="24"/>
        <v>6</v>
      </c>
      <c r="C424" t="str">
        <f t="shared" si="25"/>
        <v>62</v>
      </c>
      <c r="D424" t="str">
        <f t="shared" si="26"/>
        <v>625</v>
      </c>
      <c r="E424" t="str">
        <f t="shared" si="27"/>
        <v>6250</v>
      </c>
      <c r="F424" s="10" t="s">
        <v>1016</v>
      </c>
      <c r="G424" t="s">
        <v>1017</v>
      </c>
      <c r="H424" s="5">
        <v>0</v>
      </c>
      <c r="I424" s="5">
        <v>0</v>
      </c>
      <c r="J424" s="5">
        <v>0</v>
      </c>
    </row>
    <row r="425" spans="1:10" x14ac:dyDescent="0.3">
      <c r="A425" t="s">
        <v>105</v>
      </c>
      <c r="B425" t="str">
        <f t="shared" si="24"/>
        <v>6</v>
      </c>
      <c r="C425" t="str">
        <f t="shared" si="25"/>
        <v>62</v>
      </c>
      <c r="D425" t="str">
        <f t="shared" si="26"/>
        <v>625</v>
      </c>
      <c r="E425" t="str">
        <f t="shared" si="27"/>
        <v>6251</v>
      </c>
      <c r="F425" s="10" t="s">
        <v>1018</v>
      </c>
      <c r="G425" t="s">
        <v>1019</v>
      </c>
      <c r="H425" s="5">
        <v>36856660</v>
      </c>
      <c r="I425" s="5">
        <v>36856660</v>
      </c>
      <c r="J425" s="5">
        <v>37027195</v>
      </c>
    </row>
    <row r="426" spans="1:10" x14ac:dyDescent="0.3">
      <c r="A426" t="s">
        <v>105</v>
      </c>
      <c r="B426" t="str">
        <f t="shared" si="24"/>
        <v>6</v>
      </c>
      <c r="C426" t="str">
        <f t="shared" si="25"/>
        <v>62</v>
      </c>
      <c r="D426" t="str">
        <f t="shared" si="26"/>
        <v>625</v>
      </c>
      <c r="E426" t="str">
        <f t="shared" si="27"/>
        <v>6252</v>
      </c>
      <c r="F426" s="10" t="s">
        <v>1020</v>
      </c>
      <c r="G426" t="s">
        <v>1021</v>
      </c>
      <c r="H426" s="5">
        <v>1717635</v>
      </c>
      <c r="I426" s="5">
        <v>1234904</v>
      </c>
      <c r="J426" s="5">
        <v>1987896</v>
      </c>
    </row>
    <row r="427" spans="1:10" x14ac:dyDescent="0.3">
      <c r="A427" t="s">
        <v>105</v>
      </c>
      <c r="B427" t="str">
        <f t="shared" si="24"/>
        <v>6</v>
      </c>
      <c r="C427" t="str">
        <f t="shared" si="25"/>
        <v>62</v>
      </c>
      <c r="D427" t="str">
        <f t="shared" si="26"/>
        <v>625</v>
      </c>
      <c r="E427" t="str">
        <f t="shared" si="27"/>
        <v>6252</v>
      </c>
      <c r="F427" s="10" t="s">
        <v>1022</v>
      </c>
      <c r="G427" t="s">
        <v>1023</v>
      </c>
      <c r="H427" s="5">
        <v>15875777</v>
      </c>
      <c r="I427" s="5">
        <v>16717063</v>
      </c>
      <c r="J427" s="5">
        <v>13871322</v>
      </c>
    </row>
    <row r="428" spans="1:10" x14ac:dyDescent="0.3">
      <c r="A428" t="s">
        <v>105</v>
      </c>
      <c r="B428" t="str">
        <f t="shared" si="24"/>
        <v>6</v>
      </c>
      <c r="C428" t="str">
        <f t="shared" si="25"/>
        <v>62</v>
      </c>
      <c r="D428" t="str">
        <f t="shared" si="26"/>
        <v>625</v>
      </c>
      <c r="E428" t="str">
        <f t="shared" si="27"/>
        <v>6252</v>
      </c>
      <c r="F428" s="10" t="s">
        <v>1024</v>
      </c>
      <c r="G428" t="s">
        <v>1025</v>
      </c>
      <c r="H428" s="5">
        <v>814913</v>
      </c>
      <c r="I428" s="5">
        <v>974433</v>
      </c>
      <c r="J428" s="5">
        <v>299963</v>
      </c>
    </row>
    <row r="429" spans="1:10" x14ac:dyDescent="0.3">
      <c r="A429" t="s">
        <v>105</v>
      </c>
      <c r="B429" t="str">
        <f t="shared" si="24"/>
        <v>6</v>
      </c>
      <c r="C429" t="str">
        <f t="shared" si="25"/>
        <v>62</v>
      </c>
      <c r="D429" t="str">
        <f t="shared" si="26"/>
        <v>625</v>
      </c>
      <c r="E429" t="str">
        <f t="shared" si="27"/>
        <v>6252</v>
      </c>
      <c r="F429" s="10" t="s">
        <v>1026</v>
      </c>
      <c r="G429" t="s">
        <v>1027</v>
      </c>
      <c r="H429" s="5">
        <v>4961032</v>
      </c>
      <c r="I429" s="5">
        <v>2984041</v>
      </c>
      <c r="J429" s="5">
        <v>3218707</v>
      </c>
    </row>
    <row r="430" spans="1:10" x14ac:dyDescent="0.3">
      <c r="A430" t="s">
        <v>105</v>
      </c>
      <c r="B430" t="str">
        <f t="shared" si="24"/>
        <v>6</v>
      </c>
      <c r="C430" t="str">
        <f t="shared" si="25"/>
        <v>62</v>
      </c>
      <c r="D430" t="str">
        <f t="shared" si="26"/>
        <v>625</v>
      </c>
      <c r="E430" t="str">
        <f t="shared" si="27"/>
        <v>6258</v>
      </c>
      <c r="F430" s="10" t="s">
        <v>1028</v>
      </c>
      <c r="G430" t="s">
        <v>1029</v>
      </c>
      <c r="H430" s="5">
        <v>32461176</v>
      </c>
      <c r="I430" s="5">
        <v>30665030</v>
      </c>
      <c r="J430" s="5">
        <v>27693238</v>
      </c>
    </row>
    <row r="431" spans="1:10" x14ac:dyDescent="0.3">
      <c r="A431" t="s">
        <v>105</v>
      </c>
      <c r="B431" t="str">
        <f t="shared" si="24"/>
        <v>6</v>
      </c>
      <c r="C431" t="str">
        <f t="shared" si="25"/>
        <v>62</v>
      </c>
      <c r="D431" t="str">
        <f t="shared" si="26"/>
        <v>625</v>
      </c>
      <c r="E431" t="str">
        <f t="shared" si="27"/>
        <v>6258</v>
      </c>
      <c r="F431" s="10" t="s">
        <v>1030</v>
      </c>
      <c r="G431" t="s">
        <v>1031</v>
      </c>
      <c r="H431" s="5">
        <v>12322341</v>
      </c>
      <c r="I431" s="5">
        <v>17511682</v>
      </c>
      <c r="J431" s="5">
        <v>16447888</v>
      </c>
    </row>
    <row r="432" spans="1:10" x14ac:dyDescent="0.3">
      <c r="A432" t="s">
        <v>105</v>
      </c>
      <c r="B432" t="str">
        <f t="shared" si="24"/>
        <v>6</v>
      </c>
      <c r="C432" t="str">
        <f t="shared" si="25"/>
        <v>62</v>
      </c>
      <c r="D432" t="str">
        <f t="shared" si="26"/>
        <v>625</v>
      </c>
      <c r="E432" t="str">
        <f t="shared" si="27"/>
        <v>6258</v>
      </c>
      <c r="F432" s="10" t="s">
        <v>1032</v>
      </c>
      <c r="G432" t="s">
        <v>1033</v>
      </c>
      <c r="H432" s="5">
        <v>6275952</v>
      </c>
      <c r="I432" s="5">
        <v>5501823</v>
      </c>
      <c r="J432" s="5">
        <v>6066546</v>
      </c>
    </row>
    <row r="433" spans="1:10" x14ac:dyDescent="0.3">
      <c r="A433" t="s">
        <v>105</v>
      </c>
      <c r="B433" t="str">
        <f t="shared" si="24"/>
        <v>6</v>
      </c>
      <c r="C433" t="str">
        <f t="shared" si="25"/>
        <v>62</v>
      </c>
      <c r="D433" t="str">
        <f t="shared" si="26"/>
        <v>625</v>
      </c>
      <c r="E433" t="str">
        <f t="shared" si="27"/>
        <v>6258</v>
      </c>
      <c r="F433" s="10" t="s">
        <v>1034</v>
      </c>
      <c r="G433" t="s">
        <v>1035</v>
      </c>
      <c r="H433" s="5">
        <v>18602695</v>
      </c>
      <c r="I433" s="5">
        <v>16153217</v>
      </c>
      <c r="J433" s="5">
        <v>15223262</v>
      </c>
    </row>
    <row r="434" spans="1:10" x14ac:dyDescent="0.3">
      <c r="A434" t="s">
        <v>105</v>
      </c>
      <c r="B434" t="str">
        <f t="shared" si="24"/>
        <v>6</v>
      </c>
      <c r="C434" t="str">
        <f t="shared" si="25"/>
        <v>62</v>
      </c>
      <c r="D434" t="str">
        <f t="shared" si="26"/>
        <v>625</v>
      </c>
      <c r="E434" t="str">
        <f t="shared" si="27"/>
        <v>6258</v>
      </c>
      <c r="F434" s="10" t="s">
        <v>1036</v>
      </c>
      <c r="G434" t="s">
        <v>1037</v>
      </c>
      <c r="H434" s="5">
        <v>1052221</v>
      </c>
      <c r="I434" s="5">
        <v>804000</v>
      </c>
      <c r="J434" s="5">
        <v>985000</v>
      </c>
    </row>
    <row r="435" spans="1:10" x14ac:dyDescent="0.3">
      <c r="A435" t="s">
        <v>105</v>
      </c>
      <c r="B435" t="str">
        <f t="shared" si="24"/>
        <v>6</v>
      </c>
      <c r="C435" t="str">
        <f t="shared" si="25"/>
        <v>62</v>
      </c>
      <c r="D435" t="str">
        <f t="shared" si="26"/>
        <v>625</v>
      </c>
      <c r="E435" t="str">
        <f t="shared" si="27"/>
        <v>6258</v>
      </c>
      <c r="F435" s="10" t="s">
        <v>1038</v>
      </c>
      <c r="G435" t="s">
        <v>1039</v>
      </c>
      <c r="H435" s="5">
        <v>716085</v>
      </c>
      <c r="I435" s="5">
        <v>685000</v>
      </c>
      <c r="J435" s="5">
        <v>660000</v>
      </c>
    </row>
    <row r="436" spans="1:10" x14ac:dyDescent="0.3">
      <c r="A436" t="s">
        <v>105</v>
      </c>
      <c r="B436" t="str">
        <f t="shared" si="24"/>
        <v>6</v>
      </c>
      <c r="C436" t="str">
        <f t="shared" si="25"/>
        <v>62</v>
      </c>
      <c r="D436" t="str">
        <f t="shared" si="26"/>
        <v>625</v>
      </c>
      <c r="E436" t="str">
        <f t="shared" si="27"/>
        <v>6258</v>
      </c>
      <c r="F436" s="10" t="s">
        <v>1040</v>
      </c>
      <c r="G436" t="s">
        <v>1041</v>
      </c>
      <c r="H436" s="5">
        <v>376379</v>
      </c>
      <c r="I436" s="5">
        <v>289500</v>
      </c>
      <c r="J436" s="5">
        <v>241000</v>
      </c>
    </row>
    <row r="437" spans="1:10" x14ac:dyDescent="0.3">
      <c r="A437" t="s">
        <v>105</v>
      </c>
      <c r="B437" t="str">
        <f t="shared" si="24"/>
        <v>6</v>
      </c>
      <c r="C437" t="str">
        <f t="shared" si="25"/>
        <v>62</v>
      </c>
      <c r="D437" t="str">
        <f t="shared" si="26"/>
        <v>625</v>
      </c>
      <c r="E437" t="str">
        <f t="shared" si="27"/>
        <v>6258</v>
      </c>
      <c r="F437" s="10" t="s">
        <v>1042</v>
      </c>
      <c r="G437" t="s">
        <v>1043</v>
      </c>
      <c r="H437" s="5">
        <v>1530315</v>
      </c>
      <c r="I437" s="5">
        <v>614500</v>
      </c>
      <c r="J437" s="5">
        <v>530000</v>
      </c>
    </row>
    <row r="438" spans="1:10" x14ac:dyDescent="0.3">
      <c r="A438" t="s">
        <v>105</v>
      </c>
      <c r="B438" t="str">
        <f t="shared" si="24"/>
        <v>6</v>
      </c>
      <c r="C438" t="str">
        <f t="shared" si="25"/>
        <v>62</v>
      </c>
      <c r="D438" t="str">
        <f t="shared" si="26"/>
        <v>625</v>
      </c>
      <c r="E438" t="str">
        <f t="shared" si="27"/>
        <v>6258</v>
      </c>
      <c r="F438" s="10" t="s">
        <v>1044</v>
      </c>
      <c r="G438" t="s">
        <v>1045</v>
      </c>
      <c r="H438" s="5">
        <v>397424</v>
      </c>
      <c r="I438" s="5">
        <v>0</v>
      </c>
      <c r="J438" s="5">
        <v>0</v>
      </c>
    </row>
    <row r="439" spans="1:10" x14ac:dyDescent="0.3">
      <c r="A439" t="s">
        <v>105</v>
      </c>
      <c r="B439" t="str">
        <f t="shared" si="24"/>
        <v>6</v>
      </c>
      <c r="C439" t="str">
        <f t="shared" si="25"/>
        <v>62</v>
      </c>
      <c r="D439" t="str">
        <f t="shared" si="26"/>
        <v>625</v>
      </c>
      <c r="E439" t="str">
        <f t="shared" si="27"/>
        <v>6258</v>
      </c>
      <c r="F439" s="10" t="s">
        <v>1046</v>
      </c>
      <c r="G439" t="s">
        <v>1047</v>
      </c>
      <c r="H439" s="5">
        <v>1115096</v>
      </c>
      <c r="I439" s="5">
        <v>4292864</v>
      </c>
      <c r="J439" s="5">
        <v>0</v>
      </c>
    </row>
    <row r="440" spans="1:10" x14ac:dyDescent="0.3">
      <c r="A440" t="s">
        <v>107</v>
      </c>
      <c r="B440" t="str">
        <f t="shared" si="24"/>
        <v>6</v>
      </c>
      <c r="C440" t="str">
        <f t="shared" si="25"/>
        <v>62</v>
      </c>
      <c r="D440" t="str">
        <f t="shared" si="26"/>
        <v>626</v>
      </c>
      <c r="E440" t="str">
        <f t="shared" si="27"/>
        <v>6261</v>
      </c>
      <c r="F440" s="10" t="s">
        <v>1048</v>
      </c>
      <c r="G440" t="s">
        <v>1049</v>
      </c>
      <c r="H440" s="5">
        <v>0</v>
      </c>
      <c r="I440" s="5">
        <v>0</v>
      </c>
      <c r="J440" s="5">
        <v>0</v>
      </c>
    </row>
    <row r="441" spans="1:10" x14ac:dyDescent="0.3">
      <c r="A441" t="s">
        <v>107</v>
      </c>
      <c r="B441" t="str">
        <f t="shared" si="24"/>
        <v>6</v>
      </c>
      <c r="C441" t="str">
        <f t="shared" si="25"/>
        <v>62</v>
      </c>
      <c r="D441" t="str">
        <f t="shared" si="26"/>
        <v>626</v>
      </c>
      <c r="E441" t="str">
        <f t="shared" si="27"/>
        <v>6261</v>
      </c>
      <c r="F441" s="10" t="s">
        <v>1050</v>
      </c>
      <c r="G441" t="s">
        <v>1051</v>
      </c>
      <c r="H441" s="5">
        <v>0</v>
      </c>
      <c r="I441" s="5">
        <v>0</v>
      </c>
      <c r="J441" s="5">
        <v>17700</v>
      </c>
    </row>
    <row r="442" spans="1:10" x14ac:dyDescent="0.3">
      <c r="A442" t="s">
        <v>107</v>
      </c>
      <c r="B442" t="str">
        <f t="shared" si="24"/>
        <v>6</v>
      </c>
      <c r="C442" t="str">
        <f t="shared" si="25"/>
        <v>62</v>
      </c>
      <c r="D442" t="str">
        <f t="shared" si="26"/>
        <v>626</v>
      </c>
      <c r="E442" t="str">
        <f t="shared" si="27"/>
        <v>6261</v>
      </c>
      <c r="F442" s="10" t="s">
        <v>1052</v>
      </c>
      <c r="G442" t="s">
        <v>1053</v>
      </c>
      <c r="H442" s="5">
        <v>0</v>
      </c>
      <c r="I442" s="5">
        <v>0</v>
      </c>
      <c r="J442" s="5">
        <v>0</v>
      </c>
    </row>
    <row r="443" spans="1:10" x14ac:dyDescent="0.3">
      <c r="A443" t="s">
        <v>107</v>
      </c>
      <c r="B443" t="str">
        <f t="shared" si="24"/>
        <v>6</v>
      </c>
      <c r="C443" t="str">
        <f t="shared" si="25"/>
        <v>62</v>
      </c>
      <c r="D443" t="str">
        <f t="shared" si="26"/>
        <v>626</v>
      </c>
      <c r="E443" t="str">
        <f t="shared" si="27"/>
        <v>6261</v>
      </c>
      <c r="F443" s="10" t="s">
        <v>1054</v>
      </c>
      <c r="G443" t="s">
        <v>1055</v>
      </c>
      <c r="H443" s="5">
        <v>0</v>
      </c>
      <c r="I443" s="5">
        <v>0</v>
      </c>
      <c r="J443" s="5">
        <v>0</v>
      </c>
    </row>
    <row r="444" spans="1:10" x14ac:dyDescent="0.3">
      <c r="A444" t="s">
        <v>107</v>
      </c>
      <c r="B444" t="str">
        <f t="shared" si="24"/>
        <v>6</v>
      </c>
      <c r="C444" t="str">
        <f t="shared" si="25"/>
        <v>62</v>
      </c>
      <c r="D444" t="str">
        <f t="shared" si="26"/>
        <v>626</v>
      </c>
      <c r="E444" t="str">
        <f t="shared" si="27"/>
        <v>6265</v>
      </c>
      <c r="F444" s="10" t="s">
        <v>1056</v>
      </c>
      <c r="G444" t="s">
        <v>1057</v>
      </c>
      <c r="H444" s="5">
        <v>2494351</v>
      </c>
      <c r="I444" s="5">
        <v>498607</v>
      </c>
      <c r="J444" s="5">
        <v>353607</v>
      </c>
    </row>
    <row r="445" spans="1:10" x14ac:dyDescent="0.3">
      <c r="A445" t="s">
        <v>107</v>
      </c>
      <c r="B445" t="str">
        <f t="shared" si="24"/>
        <v>6</v>
      </c>
      <c r="C445" t="str">
        <f t="shared" si="25"/>
        <v>62</v>
      </c>
      <c r="D445" t="str">
        <f t="shared" si="26"/>
        <v>626</v>
      </c>
      <c r="E445" t="str">
        <f t="shared" si="27"/>
        <v>6266</v>
      </c>
      <c r="F445" s="10" t="s">
        <v>1058</v>
      </c>
      <c r="G445" t="s">
        <v>1059</v>
      </c>
      <c r="H445" s="5">
        <v>0</v>
      </c>
      <c r="I445" s="5">
        <v>150000</v>
      </c>
      <c r="J445" s="5">
        <v>0</v>
      </c>
    </row>
    <row r="446" spans="1:10" x14ac:dyDescent="0.3">
      <c r="A446" t="s">
        <v>107</v>
      </c>
      <c r="B446" t="str">
        <f t="shared" si="24"/>
        <v>6</v>
      </c>
      <c r="C446" t="str">
        <f t="shared" si="25"/>
        <v>62</v>
      </c>
      <c r="D446" t="str">
        <f t="shared" si="26"/>
        <v>626</v>
      </c>
      <c r="E446" t="str">
        <f t="shared" si="27"/>
        <v>6266</v>
      </c>
      <c r="F446" s="10" t="s">
        <v>1060</v>
      </c>
      <c r="G446" t="s">
        <v>1061</v>
      </c>
      <c r="H446" s="5">
        <v>168000</v>
      </c>
      <c r="I446" s="5">
        <v>0</v>
      </c>
      <c r="J446" s="5">
        <v>0</v>
      </c>
    </row>
    <row r="447" spans="1:10" x14ac:dyDescent="0.3">
      <c r="A447" t="s">
        <v>107</v>
      </c>
      <c r="B447" t="str">
        <f t="shared" si="24"/>
        <v>6</v>
      </c>
      <c r="C447" t="str">
        <f t="shared" si="25"/>
        <v>62</v>
      </c>
      <c r="D447" t="str">
        <f t="shared" si="26"/>
        <v>626</v>
      </c>
      <c r="E447" t="str">
        <f t="shared" si="27"/>
        <v>6268</v>
      </c>
      <c r="F447" s="10" t="s">
        <v>1062</v>
      </c>
      <c r="G447" t="s">
        <v>1063</v>
      </c>
      <c r="H447" s="5">
        <v>0</v>
      </c>
      <c r="I447" s="5">
        <v>0</v>
      </c>
      <c r="J447" s="5">
        <v>0</v>
      </c>
    </row>
    <row r="448" spans="1:10" x14ac:dyDescent="0.3">
      <c r="A448" t="s">
        <v>109</v>
      </c>
      <c r="B448" t="str">
        <f t="shared" si="24"/>
        <v>6</v>
      </c>
      <c r="C448" t="str">
        <f t="shared" si="25"/>
        <v>62</v>
      </c>
      <c r="D448" t="str">
        <f t="shared" si="26"/>
        <v>627</v>
      </c>
      <c r="E448" t="str">
        <f t="shared" si="27"/>
        <v>6271</v>
      </c>
      <c r="F448" s="10" t="s">
        <v>1064</v>
      </c>
      <c r="G448" t="s">
        <v>1065</v>
      </c>
      <c r="H448" s="5">
        <v>53000</v>
      </c>
      <c r="I448" s="5">
        <v>0</v>
      </c>
      <c r="J448" s="5">
        <v>0</v>
      </c>
    </row>
    <row r="449" spans="1:10" x14ac:dyDescent="0.3">
      <c r="A449" t="s">
        <v>109</v>
      </c>
      <c r="B449" t="str">
        <f t="shared" si="24"/>
        <v>6</v>
      </c>
      <c r="C449" t="str">
        <f t="shared" si="25"/>
        <v>62</v>
      </c>
      <c r="D449" t="str">
        <f t="shared" si="26"/>
        <v>627</v>
      </c>
      <c r="E449" t="str">
        <f t="shared" si="27"/>
        <v>6274</v>
      </c>
      <c r="F449" s="10" t="s">
        <v>1066</v>
      </c>
      <c r="G449" t="s">
        <v>1067</v>
      </c>
      <c r="H449" s="5">
        <v>0</v>
      </c>
      <c r="I449" s="5">
        <v>0</v>
      </c>
      <c r="J449" s="5">
        <v>0</v>
      </c>
    </row>
    <row r="450" spans="1:10" x14ac:dyDescent="0.3">
      <c r="A450" t="s">
        <v>109</v>
      </c>
      <c r="B450" t="str">
        <f t="shared" ref="B450:B513" si="28">LEFT($F450,1)</f>
        <v>6</v>
      </c>
      <c r="C450" t="str">
        <f t="shared" ref="C450:C513" si="29">LEFT($F450,2)</f>
        <v>62</v>
      </c>
      <c r="D450" t="str">
        <f t="shared" ref="D450:D513" si="30">LEFT($F450,3)</f>
        <v>627</v>
      </c>
      <c r="E450" t="str">
        <f t="shared" ref="E450:E513" si="31">LEFT($F450,4)</f>
        <v>6276</v>
      </c>
      <c r="F450" s="10" t="s">
        <v>1068</v>
      </c>
      <c r="G450" t="s">
        <v>1069</v>
      </c>
      <c r="H450" s="5">
        <v>0</v>
      </c>
      <c r="I450" s="5">
        <v>1640000</v>
      </c>
      <c r="J450" s="5">
        <v>0</v>
      </c>
    </row>
    <row r="451" spans="1:10" x14ac:dyDescent="0.3">
      <c r="A451" t="s">
        <v>109</v>
      </c>
      <c r="B451" t="str">
        <f t="shared" si="28"/>
        <v>6</v>
      </c>
      <c r="C451" t="str">
        <f t="shared" si="29"/>
        <v>62</v>
      </c>
      <c r="D451" t="str">
        <f t="shared" si="30"/>
        <v>627</v>
      </c>
      <c r="E451" t="str">
        <f t="shared" si="31"/>
        <v>6277</v>
      </c>
      <c r="F451" s="10" t="s">
        <v>1070</v>
      </c>
      <c r="G451" t="s">
        <v>1071</v>
      </c>
      <c r="H451" s="5">
        <v>0</v>
      </c>
      <c r="I451" s="5">
        <v>0</v>
      </c>
      <c r="J451" s="5">
        <v>0</v>
      </c>
    </row>
    <row r="452" spans="1:10" x14ac:dyDescent="0.3">
      <c r="A452" t="s">
        <v>109</v>
      </c>
      <c r="B452" t="str">
        <f t="shared" si="28"/>
        <v>6</v>
      </c>
      <c r="C452" t="str">
        <f t="shared" si="29"/>
        <v>62</v>
      </c>
      <c r="D452" t="str">
        <f t="shared" si="30"/>
        <v>627</v>
      </c>
      <c r="E452" t="str">
        <f t="shared" si="31"/>
        <v>6277</v>
      </c>
      <c r="F452" s="10" t="s">
        <v>1072</v>
      </c>
      <c r="G452" t="s">
        <v>1073</v>
      </c>
      <c r="H452" s="5">
        <v>477000</v>
      </c>
      <c r="I452" s="5">
        <v>276000</v>
      </c>
      <c r="J452" s="5">
        <v>0</v>
      </c>
    </row>
    <row r="453" spans="1:10" x14ac:dyDescent="0.3">
      <c r="A453" t="s">
        <v>109</v>
      </c>
      <c r="B453" t="str">
        <f t="shared" si="28"/>
        <v>6</v>
      </c>
      <c r="C453" t="str">
        <f t="shared" si="29"/>
        <v>62</v>
      </c>
      <c r="D453" t="str">
        <f t="shared" si="30"/>
        <v>627</v>
      </c>
      <c r="E453" t="str">
        <f t="shared" si="31"/>
        <v>6278</v>
      </c>
      <c r="F453" s="10" t="s">
        <v>1074</v>
      </c>
      <c r="G453" t="s">
        <v>1075</v>
      </c>
      <c r="H453" s="5">
        <v>0</v>
      </c>
      <c r="I453" s="5">
        <v>0</v>
      </c>
      <c r="J453" s="5">
        <v>0</v>
      </c>
    </row>
    <row r="454" spans="1:10" x14ac:dyDescent="0.3">
      <c r="A454" t="s">
        <v>109</v>
      </c>
      <c r="B454" t="str">
        <f t="shared" si="28"/>
        <v>6</v>
      </c>
      <c r="C454" t="str">
        <f t="shared" si="29"/>
        <v>62</v>
      </c>
      <c r="D454" t="str">
        <f t="shared" si="30"/>
        <v>627</v>
      </c>
      <c r="E454" t="str">
        <f t="shared" si="31"/>
        <v>6278</v>
      </c>
      <c r="F454" s="10" t="s">
        <v>1076</v>
      </c>
      <c r="G454" t="s">
        <v>1077</v>
      </c>
      <c r="H454" s="5">
        <v>0</v>
      </c>
      <c r="I454" s="5">
        <v>0</v>
      </c>
      <c r="J454" s="5">
        <v>0</v>
      </c>
    </row>
    <row r="455" spans="1:10" x14ac:dyDescent="0.3">
      <c r="A455" t="s">
        <v>109</v>
      </c>
      <c r="B455" t="str">
        <f t="shared" si="28"/>
        <v>6</v>
      </c>
      <c r="C455" t="str">
        <f t="shared" si="29"/>
        <v>62</v>
      </c>
      <c r="D455" t="str">
        <f t="shared" si="30"/>
        <v>627</v>
      </c>
      <c r="E455" t="str">
        <f t="shared" si="31"/>
        <v>6278</v>
      </c>
      <c r="F455" s="10" t="s">
        <v>1078</v>
      </c>
      <c r="G455" t="s">
        <v>1079</v>
      </c>
      <c r="H455" s="5">
        <v>750000</v>
      </c>
      <c r="I455" s="5">
        <v>0</v>
      </c>
      <c r="J455" s="5">
        <v>350000</v>
      </c>
    </row>
    <row r="456" spans="1:10" x14ac:dyDescent="0.3">
      <c r="A456" t="s">
        <v>109</v>
      </c>
      <c r="B456" t="str">
        <f t="shared" si="28"/>
        <v>6</v>
      </c>
      <c r="C456" t="str">
        <f t="shared" si="29"/>
        <v>62</v>
      </c>
      <c r="D456" t="str">
        <f t="shared" si="30"/>
        <v>627</v>
      </c>
      <c r="E456" t="str">
        <f t="shared" si="31"/>
        <v>6278</v>
      </c>
      <c r="F456" s="10" t="s">
        <v>1080</v>
      </c>
      <c r="G456" t="s">
        <v>1081</v>
      </c>
      <c r="H456" s="5">
        <v>0</v>
      </c>
      <c r="I456" s="5">
        <v>0</v>
      </c>
      <c r="J456" s="5">
        <v>0</v>
      </c>
    </row>
    <row r="457" spans="1:10" x14ac:dyDescent="0.3">
      <c r="A457" t="s">
        <v>109</v>
      </c>
      <c r="B457" t="str">
        <f t="shared" si="28"/>
        <v>6</v>
      </c>
      <c r="C457" t="str">
        <f t="shared" si="29"/>
        <v>62</v>
      </c>
      <c r="D457" t="str">
        <f t="shared" si="30"/>
        <v>627</v>
      </c>
      <c r="E457" t="str">
        <f t="shared" si="31"/>
        <v>6278</v>
      </c>
      <c r="F457" s="10" t="s">
        <v>1082</v>
      </c>
      <c r="G457" t="s">
        <v>1083</v>
      </c>
      <c r="H457" s="5">
        <v>2104500</v>
      </c>
      <c r="I457" s="5">
        <v>1165000</v>
      </c>
      <c r="J457" s="5">
        <v>6120650</v>
      </c>
    </row>
    <row r="458" spans="1:10" x14ac:dyDescent="0.3">
      <c r="A458" t="s">
        <v>111</v>
      </c>
      <c r="B458" t="str">
        <f t="shared" si="28"/>
        <v>6</v>
      </c>
      <c r="C458" t="str">
        <f t="shared" si="29"/>
        <v>62</v>
      </c>
      <c r="D458" t="str">
        <f t="shared" si="30"/>
        <v>628</v>
      </c>
      <c r="E458" t="str">
        <f t="shared" si="31"/>
        <v>6281</v>
      </c>
      <c r="F458" s="10" t="s">
        <v>1084</v>
      </c>
      <c r="G458" t="s">
        <v>1085</v>
      </c>
      <c r="H458" s="5">
        <v>20800</v>
      </c>
      <c r="I458" s="5">
        <v>0</v>
      </c>
      <c r="J458" s="5">
        <v>25000</v>
      </c>
    </row>
    <row r="459" spans="1:10" x14ac:dyDescent="0.3">
      <c r="A459" t="s">
        <v>111</v>
      </c>
      <c r="B459" t="str">
        <f t="shared" si="28"/>
        <v>6</v>
      </c>
      <c r="C459" t="str">
        <f t="shared" si="29"/>
        <v>62</v>
      </c>
      <c r="D459" t="str">
        <f t="shared" si="30"/>
        <v>628</v>
      </c>
      <c r="E459" t="str">
        <f t="shared" si="31"/>
        <v>6284</v>
      </c>
      <c r="F459" s="10" t="s">
        <v>1086</v>
      </c>
      <c r="G459" t="s">
        <v>1087</v>
      </c>
      <c r="H459" s="5">
        <v>0</v>
      </c>
      <c r="I459" s="5">
        <v>0</v>
      </c>
      <c r="J459" s="5">
        <v>0</v>
      </c>
    </row>
    <row r="460" spans="1:10" x14ac:dyDescent="0.3">
      <c r="A460" t="s">
        <v>111</v>
      </c>
      <c r="B460" t="str">
        <f t="shared" si="28"/>
        <v>6</v>
      </c>
      <c r="C460" t="str">
        <f t="shared" si="29"/>
        <v>62</v>
      </c>
      <c r="D460" t="str">
        <f t="shared" si="30"/>
        <v>628</v>
      </c>
      <c r="E460" t="str">
        <f t="shared" si="31"/>
        <v>6284</v>
      </c>
      <c r="F460" s="10" t="s">
        <v>1088</v>
      </c>
      <c r="G460" t="s">
        <v>1089</v>
      </c>
      <c r="H460" s="5">
        <v>1715448</v>
      </c>
      <c r="I460" s="5">
        <v>1571975</v>
      </c>
      <c r="J460" s="5">
        <v>1436984</v>
      </c>
    </row>
    <row r="461" spans="1:10" x14ac:dyDescent="0.3">
      <c r="A461" t="s">
        <v>111</v>
      </c>
      <c r="B461" t="str">
        <f t="shared" si="28"/>
        <v>6</v>
      </c>
      <c r="C461" t="str">
        <f t="shared" si="29"/>
        <v>62</v>
      </c>
      <c r="D461" t="str">
        <f t="shared" si="30"/>
        <v>628</v>
      </c>
      <c r="E461" t="str">
        <f t="shared" si="31"/>
        <v>6284</v>
      </c>
      <c r="F461" s="10" t="s">
        <v>1090</v>
      </c>
      <c r="G461" t="s">
        <v>1091</v>
      </c>
      <c r="H461" s="5">
        <v>5335236</v>
      </c>
      <c r="I461" s="5">
        <v>5621039</v>
      </c>
      <c r="J461" s="5">
        <v>5426539</v>
      </c>
    </row>
    <row r="462" spans="1:10" x14ac:dyDescent="0.3">
      <c r="A462" t="s">
        <v>111</v>
      </c>
      <c r="B462" t="str">
        <f t="shared" si="28"/>
        <v>6</v>
      </c>
      <c r="C462" t="str">
        <f t="shared" si="29"/>
        <v>62</v>
      </c>
      <c r="D462" t="str">
        <f t="shared" si="30"/>
        <v>628</v>
      </c>
      <c r="E462" t="str">
        <f t="shared" si="31"/>
        <v>6284</v>
      </c>
      <c r="F462" s="10" t="s">
        <v>1092</v>
      </c>
      <c r="G462" t="s">
        <v>1093</v>
      </c>
      <c r="H462" s="5">
        <v>763518</v>
      </c>
      <c r="I462" s="5">
        <v>864266</v>
      </c>
      <c r="J462" s="5">
        <v>555342</v>
      </c>
    </row>
    <row r="463" spans="1:10" x14ac:dyDescent="0.3">
      <c r="A463" t="s">
        <v>111</v>
      </c>
      <c r="B463" t="str">
        <f t="shared" si="28"/>
        <v>6</v>
      </c>
      <c r="C463" t="str">
        <f t="shared" si="29"/>
        <v>62</v>
      </c>
      <c r="D463" t="str">
        <f t="shared" si="30"/>
        <v>628</v>
      </c>
      <c r="E463" t="str">
        <f t="shared" si="31"/>
        <v>6284</v>
      </c>
      <c r="F463" s="10" t="s">
        <v>1094</v>
      </c>
      <c r="G463" t="s">
        <v>1095</v>
      </c>
      <c r="H463" s="5">
        <v>4730122</v>
      </c>
      <c r="I463" s="5">
        <v>4115507</v>
      </c>
      <c r="J463" s="5">
        <v>5088316</v>
      </c>
    </row>
    <row r="464" spans="1:10" x14ac:dyDescent="0.3">
      <c r="A464" t="s">
        <v>111</v>
      </c>
      <c r="B464" t="str">
        <f t="shared" si="28"/>
        <v>6</v>
      </c>
      <c r="C464" t="str">
        <f t="shared" si="29"/>
        <v>62</v>
      </c>
      <c r="D464" t="str">
        <f t="shared" si="30"/>
        <v>628</v>
      </c>
      <c r="E464" t="str">
        <f t="shared" si="31"/>
        <v>6285</v>
      </c>
      <c r="F464" s="10" t="s">
        <v>1096</v>
      </c>
      <c r="G464" t="s">
        <v>1097</v>
      </c>
      <c r="H464" s="5">
        <v>0</v>
      </c>
      <c r="I464" s="5">
        <v>0</v>
      </c>
      <c r="J464" s="5">
        <v>0</v>
      </c>
    </row>
    <row r="465" spans="1:10" x14ac:dyDescent="0.3">
      <c r="A465" t="s">
        <v>111</v>
      </c>
      <c r="B465" t="str">
        <f t="shared" si="28"/>
        <v>6</v>
      </c>
      <c r="C465" t="str">
        <f t="shared" si="29"/>
        <v>62</v>
      </c>
      <c r="D465" t="str">
        <f t="shared" si="30"/>
        <v>628</v>
      </c>
      <c r="E465" t="str">
        <f t="shared" si="31"/>
        <v>6285</v>
      </c>
      <c r="F465" s="10" t="s">
        <v>1098</v>
      </c>
      <c r="G465" t="s">
        <v>1099</v>
      </c>
      <c r="H465" s="5">
        <v>3045678</v>
      </c>
      <c r="I465" s="5">
        <v>0</v>
      </c>
      <c r="J465" s="5">
        <v>0</v>
      </c>
    </row>
    <row r="466" spans="1:10" x14ac:dyDescent="0.3">
      <c r="A466" t="s">
        <v>111</v>
      </c>
      <c r="B466" t="str">
        <f t="shared" si="28"/>
        <v>6</v>
      </c>
      <c r="C466" t="str">
        <f t="shared" si="29"/>
        <v>62</v>
      </c>
      <c r="D466" t="str">
        <f t="shared" si="30"/>
        <v>628</v>
      </c>
      <c r="E466" t="str">
        <f t="shared" si="31"/>
        <v>6285</v>
      </c>
      <c r="F466" s="10" t="s">
        <v>1100</v>
      </c>
      <c r="G466" t="s">
        <v>1101</v>
      </c>
      <c r="H466" s="5">
        <v>555257</v>
      </c>
      <c r="I466" s="5">
        <v>5085655</v>
      </c>
      <c r="J466" s="5">
        <v>3383724</v>
      </c>
    </row>
    <row r="467" spans="1:10" x14ac:dyDescent="0.3">
      <c r="A467" t="s">
        <v>111</v>
      </c>
      <c r="B467" t="str">
        <f t="shared" si="28"/>
        <v>6</v>
      </c>
      <c r="C467" t="str">
        <f t="shared" si="29"/>
        <v>62</v>
      </c>
      <c r="D467" t="str">
        <f t="shared" si="30"/>
        <v>628</v>
      </c>
      <c r="E467" t="str">
        <f t="shared" si="31"/>
        <v>6285</v>
      </c>
      <c r="F467" s="10" t="s">
        <v>1102</v>
      </c>
      <c r="G467" t="s">
        <v>1103</v>
      </c>
      <c r="H467" s="5">
        <v>0</v>
      </c>
      <c r="I467" s="5">
        <v>55000</v>
      </c>
      <c r="J467" s="5">
        <v>377271</v>
      </c>
    </row>
    <row r="468" spans="1:10" x14ac:dyDescent="0.3">
      <c r="A468" t="s">
        <v>111</v>
      </c>
      <c r="B468" t="str">
        <f t="shared" si="28"/>
        <v>6</v>
      </c>
      <c r="C468" t="str">
        <f t="shared" si="29"/>
        <v>62</v>
      </c>
      <c r="D468" t="str">
        <f t="shared" si="30"/>
        <v>628</v>
      </c>
      <c r="E468" t="str">
        <f t="shared" si="31"/>
        <v>6285</v>
      </c>
      <c r="F468" s="10" t="s">
        <v>1104</v>
      </c>
      <c r="G468" t="s">
        <v>1105</v>
      </c>
      <c r="H468" s="5">
        <v>17164937</v>
      </c>
      <c r="I468" s="5">
        <v>32916801</v>
      </c>
      <c r="J468" s="5">
        <v>26757664</v>
      </c>
    </row>
    <row r="469" spans="1:10" x14ac:dyDescent="0.3">
      <c r="A469" t="s">
        <v>111</v>
      </c>
      <c r="B469" t="str">
        <f t="shared" si="28"/>
        <v>6</v>
      </c>
      <c r="C469" t="str">
        <f t="shared" si="29"/>
        <v>62</v>
      </c>
      <c r="D469" t="str">
        <f t="shared" si="30"/>
        <v>628</v>
      </c>
      <c r="E469" t="str">
        <f t="shared" si="31"/>
        <v>6288</v>
      </c>
      <c r="F469" s="10" t="s">
        <v>1106</v>
      </c>
      <c r="G469" t="s">
        <v>1107</v>
      </c>
      <c r="H469" s="5">
        <v>80000</v>
      </c>
      <c r="I469" s="5">
        <v>0</v>
      </c>
      <c r="J469" s="5">
        <v>0</v>
      </c>
    </row>
    <row r="470" spans="1:10" x14ac:dyDescent="0.3">
      <c r="A470" t="s">
        <v>111</v>
      </c>
      <c r="B470" t="str">
        <f t="shared" si="28"/>
        <v>6</v>
      </c>
      <c r="C470" t="str">
        <f t="shared" si="29"/>
        <v>62</v>
      </c>
      <c r="D470" t="str">
        <f t="shared" si="30"/>
        <v>628</v>
      </c>
      <c r="E470" t="str">
        <f t="shared" si="31"/>
        <v>6288</v>
      </c>
      <c r="F470" s="10" t="s">
        <v>1108</v>
      </c>
      <c r="G470" t="s">
        <v>1109</v>
      </c>
      <c r="H470" s="5">
        <v>334951</v>
      </c>
      <c r="I470" s="5">
        <v>240000</v>
      </c>
      <c r="J470" s="5">
        <v>300785</v>
      </c>
    </row>
    <row r="471" spans="1:10" x14ac:dyDescent="0.3">
      <c r="A471" t="s">
        <v>114</v>
      </c>
      <c r="B471" t="str">
        <f t="shared" si="28"/>
        <v>6</v>
      </c>
      <c r="C471" t="str">
        <f t="shared" si="29"/>
        <v>63</v>
      </c>
      <c r="D471" t="str">
        <f t="shared" si="30"/>
        <v>631</v>
      </c>
      <c r="E471" t="str">
        <f t="shared" si="31"/>
        <v>6310</v>
      </c>
      <c r="F471" s="10" t="s">
        <v>1110</v>
      </c>
      <c r="G471" t="s">
        <v>1111</v>
      </c>
      <c r="H471" s="5">
        <v>0</v>
      </c>
      <c r="I471" s="5">
        <v>0</v>
      </c>
      <c r="J471" s="5">
        <v>0</v>
      </c>
    </row>
    <row r="472" spans="1:10" x14ac:dyDescent="0.3">
      <c r="A472" t="s">
        <v>114</v>
      </c>
      <c r="B472" t="str">
        <f t="shared" si="28"/>
        <v>6</v>
      </c>
      <c r="C472" t="str">
        <f t="shared" si="29"/>
        <v>63</v>
      </c>
      <c r="D472" t="str">
        <f t="shared" si="30"/>
        <v>631</v>
      </c>
      <c r="E472" t="str">
        <f t="shared" si="31"/>
        <v>6312</v>
      </c>
      <c r="F472" s="10" t="s">
        <v>1112</v>
      </c>
      <c r="G472" t="s">
        <v>1113</v>
      </c>
      <c r="H472" s="5">
        <v>9038899</v>
      </c>
      <c r="I472" s="5">
        <v>4272008</v>
      </c>
      <c r="J472" s="5">
        <v>1669350</v>
      </c>
    </row>
    <row r="473" spans="1:10" x14ac:dyDescent="0.3">
      <c r="A473" t="s">
        <v>114</v>
      </c>
      <c r="B473" t="str">
        <f t="shared" si="28"/>
        <v>6</v>
      </c>
      <c r="C473" t="str">
        <f t="shared" si="29"/>
        <v>63</v>
      </c>
      <c r="D473" t="str">
        <f t="shared" si="30"/>
        <v>631</v>
      </c>
      <c r="E473" t="str">
        <f t="shared" si="31"/>
        <v>6316</v>
      </c>
      <c r="F473" s="10" t="s">
        <v>1114</v>
      </c>
      <c r="G473" t="s">
        <v>1115</v>
      </c>
      <c r="H473" s="5">
        <v>94240842</v>
      </c>
      <c r="I473" s="5">
        <v>192745791</v>
      </c>
      <c r="J473" s="5">
        <v>45407980</v>
      </c>
    </row>
    <row r="474" spans="1:10" x14ac:dyDescent="0.3">
      <c r="A474" t="s">
        <v>114</v>
      </c>
      <c r="B474" t="str">
        <f t="shared" si="28"/>
        <v>6</v>
      </c>
      <c r="C474" t="str">
        <f t="shared" si="29"/>
        <v>63</v>
      </c>
      <c r="D474" t="str">
        <f t="shared" si="30"/>
        <v>631</v>
      </c>
      <c r="E474" t="str">
        <f t="shared" si="31"/>
        <v>6318</v>
      </c>
      <c r="F474" s="10" t="s">
        <v>1116</v>
      </c>
      <c r="G474" t="s">
        <v>1117</v>
      </c>
      <c r="H474" s="5">
        <v>0</v>
      </c>
      <c r="I474" s="5">
        <v>1500000</v>
      </c>
      <c r="J474" s="5">
        <v>580151</v>
      </c>
    </row>
    <row r="475" spans="1:10" x14ac:dyDescent="0.3">
      <c r="A475" t="s">
        <v>114</v>
      </c>
      <c r="B475" t="str">
        <f t="shared" si="28"/>
        <v>6</v>
      </c>
      <c r="C475" t="str">
        <f t="shared" si="29"/>
        <v>63</v>
      </c>
      <c r="D475" t="str">
        <f t="shared" si="30"/>
        <v>631</v>
      </c>
      <c r="E475" t="str">
        <f t="shared" si="31"/>
        <v>6318</v>
      </c>
      <c r="F475" s="10" t="s">
        <v>1118</v>
      </c>
      <c r="G475" t="s">
        <v>1119</v>
      </c>
      <c r="H475" s="5">
        <v>28576991</v>
      </c>
      <c r="I475" s="5">
        <v>32962066</v>
      </c>
      <c r="J475" s="5">
        <v>41287648</v>
      </c>
    </row>
    <row r="476" spans="1:10" x14ac:dyDescent="0.3">
      <c r="A476" t="s">
        <v>114</v>
      </c>
      <c r="B476" t="str">
        <f t="shared" si="28"/>
        <v>6</v>
      </c>
      <c r="C476" t="str">
        <f t="shared" si="29"/>
        <v>63</v>
      </c>
      <c r="D476" t="str">
        <f t="shared" si="30"/>
        <v>631</v>
      </c>
      <c r="E476" t="str">
        <f t="shared" si="31"/>
        <v>6318</v>
      </c>
      <c r="F476" s="10" t="s">
        <v>1120</v>
      </c>
      <c r="G476" t="s">
        <v>1121</v>
      </c>
      <c r="H476" s="5">
        <v>14759448</v>
      </c>
      <c r="I476" s="5">
        <v>10982713</v>
      </c>
      <c r="J476" s="5">
        <v>18423223</v>
      </c>
    </row>
    <row r="477" spans="1:10" x14ac:dyDescent="0.3">
      <c r="A477" t="s">
        <v>114</v>
      </c>
      <c r="B477" t="str">
        <f t="shared" si="28"/>
        <v>6</v>
      </c>
      <c r="C477" t="str">
        <f t="shared" si="29"/>
        <v>63</v>
      </c>
      <c r="D477" t="str">
        <f t="shared" si="30"/>
        <v>631</v>
      </c>
      <c r="E477" t="str">
        <f t="shared" si="31"/>
        <v>6318</v>
      </c>
      <c r="F477" s="10" t="s">
        <v>1122</v>
      </c>
      <c r="G477" t="s">
        <v>1123</v>
      </c>
      <c r="H477" s="5">
        <v>42797851</v>
      </c>
      <c r="I477" s="5">
        <v>90787033</v>
      </c>
      <c r="J477" s="5">
        <v>62896332</v>
      </c>
    </row>
    <row r="478" spans="1:10" x14ac:dyDescent="0.3">
      <c r="A478" t="s">
        <v>114</v>
      </c>
      <c r="B478" t="str">
        <f t="shared" si="28"/>
        <v>6</v>
      </c>
      <c r="C478" t="str">
        <f t="shared" si="29"/>
        <v>63</v>
      </c>
      <c r="D478" t="str">
        <f t="shared" si="30"/>
        <v>631</v>
      </c>
      <c r="E478" t="str">
        <f t="shared" si="31"/>
        <v>6318</v>
      </c>
      <c r="F478" s="10" t="s">
        <v>1124</v>
      </c>
      <c r="G478" t="s">
        <v>1125</v>
      </c>
      <c r="H478" s="5">
        <v>31497307</v>
      </c>
      <c r="I478" s="5">
        <v>21594309</v>
      </c>
      <c r="J478" s="5">
        <v>51389514</v>
      </c>
    </row>
    <row r="479" spans="1:10" x14ac:dyDescent="0.3">
      <c r="A479" t="s">
        <v>114</v>
      </c>
      <c r="B479" t="str">
        <f t="shared" si="28"/>
        <v>6</v>
      </c>
      <c r="C479" t="str">
        <f t="shared" si="29"/>
        <v>63</v>
      </c>
      <c r="D479" t="str">
        <f t="shared" si="30"/>
        <v>631</v>
      </c>
      <c r="E479" t="str">
        <f t="shared" si="31"/>
        <v>6318</v>
      </c>
      <c r="F479" s="10" t="s">
        <v>1126</v>
      </c>
      <c r="G479" t="s">
        <v>1127</v>
      </c>
      <c r="H479" s="5">
        <v>217800</v>
      </c>
      <c r="I479" s="5">
        <v>422400</v>
      </c>
      <c r="J479" s="5">
        <v>349900</v>
      </c>
    </row>
    <row r="480" spans="1:10" x14ac:dyDescent="0.3">
      <c r="A480" t="s">
        <v>114</v>
      </c>
      <c r="B480" t="str">
        <f t="shared" si="28"/>
        <v>6</v>
      </c>
      <c r="C480" t="str">
        <f t="shared" si="29"/>
        <v>63</v>
      </c>
      <c r="D480" t="str">
        <f t="shared" si="30"/>
        <v>631</v>
      </c>
      <c r="E480" t="str">
        <f t="shared" si="31"/>
        <v>6318</v>
      </c>
      <c r="F480" s="10" t="s">
        <v>1128</v>
      </c>
      <c r="G480" t="s">
        <v>1129</v>
      </c>
      <c r="H480" s="5">
        <v>0</v>
      </c>
      <c r="I480" s="5">
        <v>0</v>
      </c>
      <c r="J480" s="5">
        <v>10475287</v>
      </c>
    </row>
    <row r="481" spans="1:10" x14ac:dyDescent="0.3">
      <c r="A481" t="s">
        <v>116</v>
      </c>
      <c r="B481" t="str">
        <f t="shared" si="28"/>
        <v>6</v>
      </c>
      <c r="C481" t="str">
        <f t="shared" si="29"/>
        <v>63</v>
      </c>
      <c r="D481" t="str">
        <f t="shared" si="30"/>
        <v>632</v>
      </c>
      <c r="E481" t="str">
        <f t="shared" si="31"/>
        <v>6324</v>
      </c>
      <c r="F481" s="10" t="s">
        <v>1130</v>
      </c>
      <c r="G481" t="s">
        <v>1131</v>
      </c>
      <c r="H481" s="5">
        <v>236000</v>
      </c>
      <c r="I481" s="5">
        <v>0</v>
      </c>
      <c r="J481" s="5">
        <v>0</v>
      </c>
    </row>
    <row r="482" spans="1:10" x14ac:dyDescent="0.3">
      <c r="A482" t="s">
        <v>116</v>
      </c>
      <c r="B482" t="str">
        <f t="shared" si="28"/>
        <v>6</v>
      </c>
      <c r="C482" t="str">
        <f t="shared" si="29"/>
        <v>63</v>
      </c>
      <c r="D482" t="str">
        <f t="shared" si="30"/>
        <v>632</v>
      </c>
      <c r="E482" t="str">
        <f t="shared" si="31"/>
        <v>6324</v>
      </c>
      <c r="F482" s="10" t="s">
        <v>1132</v>
      </c>
      <c r="G482" t="s">
        <v>1133</v>
      </c>
      <c r="H482" s="5">
        <v>68070864</v>
      </c>
      <c r="I482" s="5">
        <v>41290863</v>
      </c>
      <c r="J482" s="5">
        <v>65622653</v>
      </c>
    </row>
    <row r="483" spans="1:10" x14ac:dyDescent="0.3">
      <c r="A483" t="s">
        <v>116</v>
      </c>
      <c r="B483" t="str">
        <f t="shared" si="28"/>
        <v>6</v>
      </c>
      <c r="C483" t="str">
        <f t="shared" si="29"/>
        <v>63</v>
      </c>
      <c r="D483" t="str">
        <f t="shared" si="30"/>
        <v>632</v>
      </c>
      <c r="E483" t="str">
        <f t="shared" si="31"/>
        <v>6324</v>
      </c>
      <c r="F483" s="10" t="s">
        <v>1134</v>
      </c>
      <c r="G483" t="s">
        <v>1135</v>
      </c>
      <c r="H483" s="5">
        <v>13400000</v>
      </c>
      <c r="I483" s="5">
        <v>25425000</v>
      </c>
      <c r="J483" s="5">
        <v>40730000</v>
      </c>
    </row>
    <row r="484" spans="1:10" x14ac:dyDescent="0.3">
      <c r="A484" t="s">
        <v>116</v>
      </c>
      <c r="B484" t="str">
        <f t="shared" si="28"/>
        <v>6</v>
      </c>
      <c r="C484" t="str">
        <f t="shared" si="29"/>
        <v>63</v>
      </c>
      <c r="D484" t="str">
        <f t="shared" si="30"/>
        <v>632</v>
      </c>
      <c r="E484" t="str">
        <f t="shared" si="31"/>
        <v>6325</v>
      </c>
      <c r="F484" s="10" t="s">
        <v>1136</v>
      </c>
      <c r="G484" t="s">
        <v>1137</v>
      </c>
      <c r="H484" s="5">
        <v>1251476</v>
      </c>
      <c r="I484" s="5">
        <v>0</v>
      </c>
      <c r="J484" s="5">
        <v>6352000</v>
      </c>
    </row>
    <row r="485" spans="1:10" x14ac:dyDescent="0.3">
      <c r="A485" t="s">
        <v>116</v>
      </c>
      <c r="B485" t="str">
        <f t="shared" si="28"/>
        <v>6</v>
      </c>
      <c r="C485" t="str">
        <f t="shared" si="29"/>
        <v>63</v>
      </c>
      <c r="D485" t="str">
        <f t="shared" si="30"/>
        <v>632</v>
      </c>
      <c r="E485" t="str">
        <f t="shared" si="31"/>
        <v>6326</v>
      </c>
      <c r="F485" s="10" t="s">
        <v>1138</v>
      </c>
      <c r="G485" t="s">
        <v>1139</v>
      </c>
      <c r="H485" s="5">
        <v>29600000</v>
      </c>
      <c r="I485" s="5">
        <v>24700000</v>
      </c>
      <c r="J485" s="5">
        <v>21200000</v>
      </c>
    </row>
    <row r="486" spans="1:10" x14ac:dyDescent="0.3">
      <c r="A486" t="s">
        <v>116</v>
      </c>
      <c r="B486" t="str">
        <f t="shared" si="28"/>
        <v>6</v>
      </c>
      <c r="C486" t="str">
        <f t="shared" si="29"/>
        <v>63</v>
      </c>
      <c r="D486" t="str">
        <f t="shared" si="30"/>
        <v>632</v>
      </c>
      <c r="E486" t="str">
        <f t="shared" si="31"/>
        <v>6326</v>
      </c>
      <c r="F486" s="10" t="s">
        <v>1140</v>
      </c>
      <c r="G486" t="s">
        <v>1141</v>
      </c>
      <c r="H486" s="5">
        <v>1220000</v>
      </c>
      <c r="I486" s="5">
        <v>1180000</v>
      </c>
      <c r="J486" s="5">
        <v>690000</v>
      </c>
    </row>
    <row r="487" spans="1:10" x14ac:dyDescent="0.3">
      <c r="A487" t="s">
        <v>116</v>
      </c>
      <c r="B487" t="str">
        <f t="shared" si="28"/>
        <v>6</v>
      </c>
      <c r="C487" t="str">
        <f t="shared" si="29"/>
        <v>63</v>
      </c>
      <c r="D487" t="str">
        <f t="shared" si="30"/>
        <v>632</v>
      </c>
      <c r="E487" t="str">
        <f t="shared" si="31"/>
        <v>6326</v>
      </c>
      <c r="F487" s="10" t="s">
        <v>1142</v>
      </c>
      <c r="G487" t="s">
        <v>1143</v>
      </c>
      <c r="H487" s="5">
        <v>4700000</v>
      </c>
      <c r="I487" s="5">
        <v>4420000</v>
      </c>
      <c r="J487" s="5">
        <v>5370000</v>
      </c>
    </row>
    <row r="488" spans="1:10" x14ac:dyDescent="0.3">
      <c r="A488" t="s">
        <v>116</v>
      </c>
      <c r="B488" t="str">
        <f t="shared" si="28"/>
        <v>6</v>
      </c>
      <c r="C488" t="str">
        <f t="shared" si="29"/>
        <v>63</v>
      </c>
      <c r="D488" t="str">
        <f t="shared" si="30"/>
        <v>632</v>
      </c>
      <c r="E488" t="str">
        <f t="shared" si="31"/>
        <v>6326</v>
      </c>
      <c r="F488" s="10" t="s">
        <v>1144</v>
      </c>
      <c r="G488" t="s">
        <v>1145</v>
      </c>
      <c r="H488" s="5">
        <v>480000</v>
      </c>
      <c r="I488" s="5">
        <v>520000</v>
      </c>
      <c r="J488" s="5">
        <v>410000</v>
      </c>
    </row>
    <row r="489" spans="1:10" x14ac:dyDescent="0.3">
      <c r="A489" t="s">
        <v>116</v>
      </c>
      <c r="B489" t="str">
        <f t="shared" si="28"/>
        <v>6</v>
      </c>
      <c r="C489" t="str">
        <f t="shared" si="29"/>
        <v>63</v>
      </c>
      <c r="D489" t="str">
        <f t="shared" si="30"/>
        <v>632</v>
      </c>
      <c r="E489" t="str">
        <f t="shared" si="31"/>
        <v>6326</v>
      </c>
      <c r="F489" s="10" t="s">
        <v>1146</v>
      </c>
      <c r="G489" t="s">
        <v>1147</v>
      </c>
      <c r="H489" s="5">
        <v>1300000</v>
      </c>
      <c r="I489" s="5">
        <v>2200000</v>
      </c>
      <c r="J489" s="5">
        <v>2060000</v>
      </c>
    </row>
    <row r="490" spans="1:10" x14ac:dyDescent="0.3">
      <c r="A490" t="s">
        <v>116</v>
      </c>
      <c r="B490" t="str">
        <f t="shared" si="28"/>
        <v>6</v>
      </c>
      <c r="C490" t="str">
        <f t="shared" si="29"/>
        <v>63</v>
      </c>
      <c r="D490" t="str">
        <f t="shared" si="30"/>
        <v>632</v>
      </c>
      <c r="E490" t="str">
        <f t="shared" si="31"/>
        <v>6327</v>
      </c>
      <c r="F490" s="10" t="s">
        <v>1148</v>
      </c>
      <c r="G490" t="s">
        <v>1149</v>
      </c>
      <c r="H490" s="5">
        <v>0</v>
      </c>
      <c r="I490" s="5">
        <v>0</v>
      </c>
      <c r="J490" s="5">
        <v>0</v>
      </c>
    </row>
    <row r="491" spans="1:10" x14ac:dyDescent="0.3">
      <c r="A491" t="s">
        <v>116</v>
      </c>
      <c r="B491" t="str">
        <f t="shared" si="28"/>
        <v>6</v>
      </c>
      <c r="C491" t="str">
        <f t="shared" si="29"/>
        <v>63</v>
      </c>
      <c r="D491" t="str">
        <f t="shared" si="30"/>
        <v>632</v>
      </c>
      <c r="E491" t="str">
        <f t="shared" si="31"/>
        <v>6328</v>
      </c>
      <c r="F491" s="10" t="s">
        <v>1150</v>
      </c>
      <c r="G491" t="s">
        <v>1151</v>
      </c>
      <c r="H491" s="5">
        <v>0</v>
      </c>
      <c r="I491" s="5">
        <v>0</v>
      </c>
      <c r="J491" s="5">
        <v>0</v>
      </c>
    </row>
    <row r="492" spans="1:10" x14ac:dyDescent="0.3">
      <c r="A492" t="s">
        <v>116</v>
      </c>
      <c r="B492" t="str">
        <f t="shared" si="28"/>
        <v>6</v>
      </c>
      <c r="C492" t="str">
        <f t="shared" si="29"/>
        <v>63</v>
      </c>
      <c r="D492" t="str">
        <f t="shared" si="30"/>
        <v>632</v>
      </c>
      <c r="E492" t="str">
        <f t="shared" si="31"/>
        <v>6328</v>
      </c>
      <c r="F492" s="10" t="s">
        <v>1152</v>
      </c>
      <c r="G492" t="s">
        <v>1153</v>
      </c>
      <c r="H492" s="5">
        <v>2265000</v>
      </c>
      <c r="I492" s="5">
        <v>23562494</v>
      </c>
      <c r="J492" s="5">
        <v>20161293</v>
      </c>
    </row>
    <row r="493" spans="1:10" x14ac:dyDescent="0.3">
      <c r="A493" t="s">
        <v>116</v>
      </c>
      <c r="B493" t="str">
        <f t="shared" si="28"/>
        <v>6</v>
      </c>
      <c r="C493" t="str">
        <f t="shared" si="29"/>
        <v>63</v>
      </c>
      <c r="D493" t="str">
        <f t="shared" si="30"/>
        <v>632</v>
      </c>
      <c r="E493" t="str">
        <f t="shared" si="31"/>
        <v>6328</v>
      </c>
      <c r="F493" s="10" t="s">
        <v>1154</v>
      </c>
      <c r="G493" t="s">
        <v>1155</v>
      </c>
      <c r="H493" s="5">
        <v>2067250</v>
      </c>
      <c r="I493" s="5">
        <v>106250</v>
      </c>
      <c r="J493" s="5">
        <v>227220</v>
      </c>
    </row>
    <row r="494" spans="1:10" x14ac:dyDescent="0.3">
      <c r="A494" t="s">
        <v>116</v>
      </c>
      <c r="B494" t="str">
        <f t="shared" si="28"/>
        <v>6</v>
      </c>
      <c r="C494" t="str">
        <f t="shared" si="29"/>
        <v>63</v>
      </c>
      <c r="D494" t="str">
        <f t="shared" si="30"/>
        <v>632</v>
      </c>
      <c r="E494" t="str">
        <f t="shared" si="31"/>
        <v>6328</v>
      </c>
      <c r="F494" s="10" t="s">
        <v>1156</v>
      </c>
      <c r="G494" t="s">
        <v>1157</v>
      </c>
      <c r="H494" s="5">
        <v>2464200</v>
      </c>
      <c r="I494" s="5">
        <v>1680526</v>
      </c>
      <c r="J494" s="5">
        <v>4115330</v>
      </c>
    </row>
    <row r="495" spans="1:10" x14ac:dyDescent="0.3">
      <c r="A495" t="s">
        <v>116</v>
      </c>
      <c r="B495" t="str">
        <f t="shared" si="28"/>
        <v>6</v>
      </c>
      <c r="C495" t="str">
        <f t="shared" si="29"/>
        <v>63</v>
      </c>
      <c r="D495" t="str">
        <f t="shared" si="30"/>
        <v>632</v>
      </c>
      <c r="E495" t="str">
        <f t="shared" si="31"/>
        <v>6328</v>
      </c>
      <c r="F495" s="10" t="s">
        <v>1158</v>
      </c>
      <c r="G495" t="s">
        <v>1159</v>
      </c>
      <c r="H495" s="5">
        <v>4807142</v>
      </c>
      <c r="I495" s="5">
        <v>8488259</v>
      </c>
      <c r="J495" s="5">
        <v>3528594</v>
      </c>
    </row>
    <row r="496" spans="1:10" x14ac:dyDescent="0.3">
      <c r="A496" t="s">
        <v>116</v>
      </c>
      <c r="B496" t="str">
        <f t="shared" si="28"/>
        <v>6</v>
      </c>
      <c r="C496" t="str">
        <f t="shared" si="29"/>
        <v>63</v>
      </c>
      <c r="D496" t="str">
        <f t="shared" si="30"/>
        <v>632</v>
      </c>
      <c r="E496" t="str">
        <f t="shared" si="31"/>
        <v>6328</v>
      </c>
      <c r="F496" s="10" t="s">
        <v>1160</v>
      </c>
      <c r="G496" t="s">
        <v>1161</v>
      </c>
      <c r="H496" s="5">
        <v>42012791</v>
      </c>
      <c r="I496" s="5">
        <v>64779377</v>
      </c>
      <c r="J496" s="5">
        <v>61299153</v>
      </c>
    </row>
    <row r="497" spans="1:10" x14ac:dyDescent="0.3">
      <c r="A497" t="s">
        <v>96</v>
      </c>
      <c r="B497" t="str">
        <f t="shared" si="28"/>
        <v>6</v>
      </c>
      <c r="C497" t="str">
        <f t="shared" si="29"/>
        <v>63</v>
      </c>
      <c r="D497" t="str">
        <f t="shared" si="30"/>
        <v>633</v>
      </c>
      <c r="E497" t="str">
        <f t="shared" si="31"/>
        <v>6332</v>
      </c>
      <c r="F497" s="10" t="s">
        <v>1162</v>
      </c>
      <c r="G497" t="s">
        <v>1163</v>
      </c>
      <c r="H497" s="5">
        <v>0</v>
      </c>
      <c r="I497" s="5">
        <v>0</v>
      </c>
      <c r="J497" s="5">
        <v>0</v>
      </c>
    </row>
    <row r="498" spans="1:10" x14ac:dyDescent="0.3">
      <c r="A498" t="s">
        <v>96</v>
      </c>
      <c r="B498" t="str">
        <f t="shared" si="28"/>
        <v>6</v>
      </c>
      <c r="C498" t="str">
        <f t="shared" si="29"/>
        <v>63</v>
      </c>
      <c r="D498" t="str">
        <f t="shared" si="30"/>
        <v>633</v>
      </c>
      <c r="E498" t="str">
        <f t="shared" si="31"/>
        <v>6332</v>
      </c>
      <c r="F498" s="10" t="s">
        <v>1164</v>
      </c>
      <c r="G498" t="s">
        <v>1165</v>
      </c>
      <c r="H498" s="5">
        <v>0</v>
      </c>
      <c r="I498" s="5">
        <v>0</v>
      </c>
      <c r="J498" s="5">
        <v>0</v>
      </c>
    </row>
    <row r="499" spans="1:10" x14ac:dyDescent="0.3">
      <c r="A499" t="s">
        <v>96</v>
      </c>
      <c r="B499" t="str">
        <f t="shared" si="28"/>
        <v>6</v>
      </c>
      <c r="C499" t="str">
        <f t="shared" si="29"/>
        <v>63</v>
      </c>
      <c r="D499" t="str">
        <f t="shared" si="30"/>
        <v>633</v>
      </c>
      <c r="E499" t="str">
        <f t="shared" si="31"/>
        <v>6332</v>
      </c>
      <c r="F499" s="10" t="s">
        <v>1166</v>
      </c>
      <c r="G499" t="s">
        <v>1167</v>
      </c>
      <c r="H499" s="5">
        <v>0</v>
      </c>
      <c r="I499" s="5">
        <v>1015000</v>
      </c>
      <c r="J499" s="5">
        <v>0</v>
      </c>
    </row>
    <row r="500" spans="1:10" x14ac:dyDescent="0.3">
      <c r="A500" t="s">
        <v>96</v>
      </c>
      <c r="B500" t="str">
        <f t="shared" si="28"/>
        <v>6</v>
      </c>
      <c r="C500" t="str">
        <f t="shared" si="29"/>
        <v>63</v>
      </c>
      <c r="D500" t="str">
        <f t="shared" si="30"/>
        <v>633</v>
      </c>
      <c r="E500" t="str">
        <f t="shared" si="31"/>
        <v>6332</v>
      </c>
      <c r="F500" s="10" t="s">
        <v>1168</v>
      </c>
      <c r="G500" t="s">
        <v>1169</v>
      </c>
      <c r="H500" s="5">
        <v>35000</v>
      </c>
      <c r="I500" s="5">
        <v>0</v>
      </c>
      <c r="J500" s="5">
        <v>0</v>
      </c>
    </row>
    <row r="501" spans="1:10" x14ac:dyDescent="0.3">
      <c r="A501" t="s">
        <v>96</v>
      </c>
      <c r="B501" t="str">
        <f t="shared" si="28"/>
        <v>6</v>
      </c>
      <c r="C501" t="str">
        <f t="shared" si="29"/>
        <v>63</v>
      </c>
      <c r="D501" t="str">
        <f t="shared" si="30"/>
        <v>633</v>
      </c>
      <c r="E501" t="str">
        <f t="shared" si="31"/>
        <v>6332</v>
      </c>
      <c r="F501" s="10" t="s">
        <v>1170</v>
      </c>
      <c r="G501" t="s">
        <v>1171</v>
      </c>
      <c r="H501" s="5">
        <v>30263703</v>
      </c>
      <c r="I501" s="5">
        <v>226000</v>
      </c>
      <c r="J501" s="5">
        <v>126000</v>
      </c>
    </row>
    <row r="502" spans="1:10" x14ac:dyDescent="0.3">
      <c r="A502" t="s">
        <v>96</v>
      </c>
      <c r="B502" t="str">
        <f t="shared" si="28"/>
        <v>6</v>
      </c>
      <c r="C502" t="str">
        <f t="shared" si="29"/>
        <v>63</v>
      </c>
      <c r="D502" t="str">
        <f t="shared" si="30"/>
        <v>634</v>
      </c>
      <c r="E502" t="str">
        <f t="shared" si="31"/>
        <v>6348</v>
      </c>
      <c r="F502" s="10" t="s">
        <v>1172</v>
      </c>
      <c r="G502" t="s">
        <v>1173</v>
      </c>
      <c r="H502" s="5">
        <v>0</v>
      </c>
      <c r="I502" s="5">
        <v>0</v>
      </c>
      <c r="J502" s="5">
        <v>0</v>
      </c>
    </row>
    <row r="503" spans="1:10" x14ac:dyDescent="0.3">
      <c r="A503" t="s">
        <v>96</v>
      </c>
      <c r="B503" t="str">
        <f t="shared" si="28"/>
        <v>6</v>
      </c>
      <c r="C503" t="str">
        <f t="shared" si="29"/>
        <v>63</v>
      </c>
      <c r="D503" t="str">
        <f t="shared" si="30"/>
        <v>635</v>
      </c>
      <c r="E503" t="str">
        <f t="shared" si="31"/>
        <v>6351</v>
      </c>
      <c r="F503" s="10" t="s">
        <v>1174</v>
      </c>
      <c r="G503" t="s">
        <v>1175</v>
      </c>
      <c r="H503" s="5">
        <v>134331382</v>
      </c>
      <c r="I503" s="5">
        <v>136618594</v>
      </c>
      <c r="J503" s="5">
        <v>0</v>
      </c>
    </row>
    <row r="504" spans="1:10" x14ac:dyDescent="0.3">
      <c r="A504" t="s">
        <v>96</v>
      </c>
      <c r="B504" t="str">
        <f t="shared" si="28"/>
        <v>6</v>
      </c>
      <c r="C504" t="str">
        <f t="shared" si="29"/>
        <v>63</v>
      </c>
      <c r="D504" t="str">
        <f t="shared" si="30"/>
        <v>635</v>
      </c>
      <c r="E504" t="str">
        <f t="shared" si="31"/>
        <v>6351</v>
      </c>
      <c r="F504" s="10" t="s">
        <v>1176</v>
      </c>
      <c r="G504" t="s">
        <v>1177</v>
      </c>
      <c r="H504" s="5">
        <v>441523493</v>
      </c>
      <c r="I504" s="5">
        <v>196049756</v>
      </c>
      <c r="J504" s="5">
        <v>146838837</v>
      </c>
    </row>
    <row r="505" spans="1:10" x14ac:dyDescent="0.3">
      <c r="A505" t="s">
        <v>96</v>
      </c>
      <c r="B505" t="str">
        <f t="shared" si="28"/>
        <v>6</v>
      </c>
      <c r="C505" t="str">
        <f t="shared" si="29"/>
        <v>63</v>
      </c>
      <c r="D505" t="str">
        <f t="shared" si="30"/>
        <v>635</v>
      </c>
      <c r="E505" t="str">
        <f t="shared" si="31"/>
        <v>6351</v>
      </c>
      <c r="F505" s="10" t="s">
        <v>1178</v>
      </c>
      <c r="G505" t="s">
        <v>1179</v>
      </c>
      <c r="H505" s="5">
        <v>13351175</v>
      </c>
      <c r="I505" s="5">
        <v>4147266</v>
      </c>
      <c r="J505" s="5">
        <v>1936296</v>
      </c>
    </row>
    <row r="506" spans="1:10" x14ac:dyDescent="0.3">
      <c r="A506" t="s">
        <v>96</v>
      </c>
      <c r="B506" t="str">
        <f t="shared" si="28"/>
        <v>6</v>
      </c>
      <c r="C506" t="str">
        <f t="shared" si="29"/>
        <v>63</v>
      </c>
      <c r="D506" t="str">
        <f t="shared" si="30"/>
        <v>635</v>
      </c>
      <c r="E506" t="str">
        <f t="shared" si="31"/>
        <v>6351</v>
      </c>
      <c r="F506" s="10" t="s">
        <v>1180</v>
      </c>
      <c r="G506" t="s">
        <v>1181</v>
      </c>
      <c r="H506" s="5">
        <v>27036807</v>
      </c>
      <c r="I506" s="5">
        <v>23047722</v>
      </c>
      <c r="J506" s="5">
        <v>35006004</v>
      </c>
    </row>
    <row r="507" spans="1:10" x14ac:dyDescent="0.3">
      <c r="A507" t="s">
        <v>96</v>
      </c>
      <c r="B507" t="str">
        <f t="shared" si="28"/>
        <v>6</v>
      </c>
      <c r="C507" t="str">
        <f t="shared" si="29"/>
        <v>63</v>
      </c>
      <c r="D507" t="str">
        <f t="shared" si="30"/>
        <v>635</v>
      </c>
      <c r="E507" t="str">
        <f t="shared" si="31"/>
        <v>6351</v>
      </c>
      <c r="F507" s="10" t="s">
        <v>1182</v>
      </c>
      <c r="G507" t="s">
        <v>1183</v>
      </c>
      <c r="H507" s="5">
        <v>10520403</v>
      </c>
      <c r="I507" s="5">
        <v>0</v>
      </c>
      <c r="J507" s="5">
        <v>0</v>
      </c>
    </row>
    <row r="508" spans="1:10" x14ac:dyDescent="0.3">
      <c r="A508" t="s">
        <v>96</v>
      </c>
      <c r="B508" t="str">
        <f t="shared" si="28"/>
        <v>6</v>
      </c>
      <c r="C508" t="str">
        <f t="shared" si="29"/>
        <v>63</v>
      </c>
      <c r="D508" t="str">
        <f t="shared" si="30"/>
        <v>635</v>
      </c>
      <c r="E508" t="str">
        <f t="shared" si="31"/>
        <v>6358</v>
      </c>
      <c r="F508" s="10" t="s">
        <v>1184</v>
      </c>
      <c r="G508" t="s">
        <v>1185</v>
      </c>
      <c r="H508" s="5">
        <v>2400000</v>
      </c>
      <c r="I508" s="5">
        <v>0</v>
      </c>
      <c r="J508" s="5">
        <v>0</v>
      </c>
    </row>
    <row r="509" spans="1:10" x14ac:dyDescent="0.3">
      <c r="A509" t="s">
        <v>96</v>
      </c>
      <c r="B509" t="str">
        <f t="shared" si="28"/>
        <v>6</v>
      </c>
      <c r="C509" t="str">
        <f t="shared" si="29"/>
        <v>63</v>
      </c>
      <c r="D509" t="str">
        <f t="shared" si="30"/>
        <v>635</v>
      </c>
      <c r="E509" t="str">
        <f t="shared" si="31"/>
        <v>6358</v>
      </c>
      <c r="F509" s="10" t="s">
        <v>1186</v>
      </c>
      <c r="G509" t="s">
        <v>1187</v>
      </c>
      <c r="H509" s="5">
        <v>0</v>
      </c>
      <c r="I509" s="5">
        <v>0</v>
      </c>
      <c r="J509" s="5">
        <v>0</v>
      </c>
    </row>
    <row r="510" spans="1:10" x14ac:dyDescent="0.3">
      <c r="A510" t="s">
        <v>96</v>
      </c>
      <c r="B510" t="str">
        <f t="shared" si="28"/>
        <v>6</v>
      </c>
      <c r="C510" t="str">
        <f t="shared" si="29"/>
        <v>63</v>
      </c>
      <c r="D510" t="str">
        <f t="shared" si="30"/>
        <v>636</v>
      </c>
      <c r="E510" t="str">
        <f t="shared" si="31"/>
        <v>6361</v>
      </c>
      <c r="F510" s="10" t="s">
        <v>1188</v>
      </c>
      <c r="G510" t="s">
        <v>1189</v>
      </c>
      <c r="H510" s="5">
        <v>0</v>
      </c>
      <c r="I510" s="5">
        <v>0</v>
      </c>
      <c r="J510" s="5">
        <v>0</v>
      </c>
    </row>
    <row r="511" spans="1:10" x14ac:dyDescent="0.3">
      <c r="A511" t="s">
        <v>96</v>
      </c>
      <c r="B511" t="str">
        <f t="shared" si="28"/>
        <v>6</v>
      </c>
      <c r="C511" t="str">
        <f t="shared" si="29"/>
        <v>63</v>
      </c>
      <c r="D511" t="str">
        <f t="shared" si="30"/>
        <v>636</v>
      </c>
      <c r="E511" t="str">
        <f t="shared" si="31"/>
        <v>6361</v>
      </c>
      <c r="F511" s="10" t="s">
        <v>1190</v>
      </c>
      <c r="G511" t="s">
        <v>1191</v>
      </c>
      <c r="H511" s="5">
        <v>537116</v>
      </c>
      <c r="I511" s="5">
        <v>35962</v>
      </c>
      <c r="J511" s="5">
        <v>694</v>
      </c>
    </row>
    <row r="512" spans="1:10" x14ac:dyDescent="0.3">
      <c r="A512" t="s">
        <v>96</v>
      </c>
      <c r="B512" t="str">
        <f t="shared" si="28"/>
        <v>6</v>
      </c>
      <c r="C512" t="str">
        <f t="shared" si="29"/>
        <v>63</v>
      </c>
      <c r="D512" t="str">
        <f t="shared" si="30"/>
        <v>636</v>
      </c>
      <c r="E512" t="str">
        <f t="shared" si="31"/>
        <v>6361</v>
      </c>
      <c r="F512" s="10" t="s">
        <v>1192</v>
      </c>
      <c r="G512" t="s">
        <v>1193</v>
      </c>
      <c r="H512" s="5">
        <v>17595</v>
      </c>
      <c r="I512" s="5">
        <v>53390</v>
      </c>
      <c r="J512" s="5">
        <v>13750</v>
      </c>
    </row>
    <row r="513" spans="1:10" x14ac:dyDescent="0.3">
      <c r="A513" t="s">
        <v>96</v>
      </c>
      <c r="B513" t="str">
        <f t="shared" si="28"/>
        <v>6</v>
      </c>
      <c r="C513" t="str">
        <f t="shared" si="29"/>
        <v>63</v>
      </c>
      <c r="D513" t="str">
        <f t="shared" si="30"/>
        <v>636</v>
      </c>
      <c r="E513" t="str">
        <f t="shared" si="31"/>
        <v>6361</v>
      </c>
      <c r="F513" s="10" t="s">
        <v>1194</v>
      </c>
      <c r="G513" t="s">
        <v>1195</v>
      </c>
      <c r="H513" s="5">
        <v>80553</v>
      </c>
      <c r="I513" s="5">
        <v>25000</v>
      </c>
      <c r="J513" s="5">
        <v>0</v>
      </c>
    </row>
    <row r="514" spans="1:10" x14ac:dyDescent="0.3">
      <c r="A514" t="s">
        <v>96</v>
      </c>
      <c r="B514" t="str">
        <f t="shared" ref="B514:B577" si="32">LEFT($F514,1)</f>
        <v>6</v>
      </c>
      <c r="C514" t="str">
        <f t="shared" ref="C514:C577" si="33">LEFT($F514,2)</f>
        <v>63</v>
      </c>
      <c r="D514" t="str">
        <f t="shared" ref="D514:D577" si="34">LEFT($F514,3)</f>
        <v>636</v>
      </c>
      <c r="E514" t="str">
        <f t="shared" ref="E514:E577" si="35">LEFT($F514,4)</f>
        <v>6361</v>
      </c>
      <c r="F514" s="10" t="s">
        <v>1196</v>
      </c>
      <c r="G514" t="s">
        <v>1197</v>
      </c>
      <c r="H514" s="5">
        <v>13780286</v>
      </c>
      <c r="I514" s="5">
        <v>3163895</v>
      </c>
      <c r="J514" s="5">
        <v>725599</v>
      </c>
    </row>
    <row r="515" spans="1:10" x14ac:dyDescent="0.3">
      <c r="A515" t="s">
        <v>96</v>
      </c>
      <c r="B515" t="str">
        <f t="shared" si="32"/>
        <v>6</v>
      </c>
      <c r="C515" t="str">
        <f t="shared" si="33"/>
        <v>63</v>
      </c>
      <c r="D515" t="str">
        <f t="shared" si="34"/>
        <v>637</v>
      </c>
      <c r="E515" t="str">
        <f t="shared" si="35"/>
        <v>6373</v>
      </c>
      <c r="F515" s="10" t="s">
        <v>1198</v>
      </c>
      <c r="G515" t="s">
        <v>1199</v>
      </c>
      <c r="H515" s="5">
        <v>0</v>
      </c>
      <c r="I515" s="5">
        <v>6575086</v>
      </c>
      <c r="J515" s="5">
        <v>681002</v>
      </c>
    </row>
    <row r="516" spans="1:10" x14ac:dyDescent="0.3">
      <c r="A516" t="s">
        <v>96</v>
      </c>
      <c r="B516" t="str">
        <f t="shared" si="32"/>
        <v>6</v>
      </c>
      <c r="C516" t="str">
        <f t="shared" si="33"/>
        <v>63</v>
      </c>
      <c r="D516" t="str">
        <f t="shared" si="34"/>
        <v>637</v>
      </c>
      <c r="E516" t="str">
        <f t="shared" si="35"/>
        <v>6373</v>
      </c>
      <c r="F516" s="10" t="s">
        <v>1200</v>
      </c>
      <c r="G516" t="s">
        <v>1201</v>
      </c>
      <c r="H516" s="5">
        <v>53202293</v>
      </c>
      <c r="I516" s="5">
        <v>34178352</v>
      </c>
      <c r="J516" s="5">
        <v>42992516</v>
      </c>
    </row>
    <row r="517" spans="1:10" x14ac:dyDescent="0.3">
      <c r="A517" t="s">
        <v>96</v>
      </c>
      <c r="B517" t="str">
        <f t="shared" si="32"/>
        <v>6</v>
      </c>
      <c r="C517" t="str">
        <f t="shared" si="33"/>
        <v>63</v>
      </c>
      <c r="D517" t="str">
        <f t="shared" si="34"/>
        <v>637</v>
      </c>
      <c r="E517" t="str">
        <f t="shared" si="35"/>
        <v>6373</v>
      </c>
      <c r="F517" s="10" t="s">
        <v>1202</v>
      </c>
      <c r="G517" t="s">
        <v>1203</v>
      </c>
      <c r="H517" s="5">
        <v>10007215</v>
      </c>
      <c r="I517" s="5">
        <v>4413924</v>
      </c>
      <c r="J517" s="5">
        <v>0</v>
      </c>
    </row>
    <row r="518" spans="1:10" x14ac:dyDescent="0.3">
      <c r="A518" t="s">
        <v>96</v>
      </c>
      <c r="B518" t="str">
        <f t="shared" si="32"/>
        <v>6</v>
      </c>
      <c r="C518" t="str">
        <f t="shared" si="33"/>
        <v>63</v>
      </c>
      <c r="D518" t="str">
        <f t="shared" si="34"/>
        <v>637</v>
      </c>
      <c r="E518" t="str">
        <f t="shared" si="35"/>
        <v>6373</v>
      </c>
      <c r="F518" s="10" t="s">
        <v>1204</v>
      </c>
      <c r="G518" t="s">
        <v>1205</v>
      </c>
      <c r="H518" s="5">
        <v>145000</v>
      </c>
      <c r="I518" s="5">
        <v>600000</v>
      </c>
      <c r="J518" s="5">
        <v>240000</v>
      </c>
    </row>
    <row r="519" spans="1:10" x14ac:dyDescent="0.3">
      <c r="A519" t="s">
        <v>96</v>
      </c>
      <c r="B519" t="str">
        <f t="shared" si="32"/>
        <v>6</v>
      </c>
      <c r="C519" t="str">
        <f t="shared" si="33"/>
        <v>63</v>
      </c>
      <c r="D519" t="str">
        <f t="shared" si="34"/>
        <v>637</v>
      </c>
      <c r="E519" t="str">
        <f t="shared" si="35"/>
        <v>6373</v>
      </c>
      <c r="F519" s="10" t="s">
        <v>1206</v>
      </c>
      <c r="G519" t="s">
        <v>1207</v>
      </c>
      <c r="H519" s="5">
        <v>1032000</v>
      </c>
      <c r="I519" s="5">
        <v>1446667</v>
      </c>
      <c r="J519" s="5">
        <v>1251990</v>
      </c>
    </row>
    <row r="520" spans="1:10" x14ac:dyDescent="0.3">
      <c r="A520" t="s">
        <v>96</v>
      </c>
      <c r="B520" t="str">
        <f t="shared" si="32"/>
        <v>6</v>
      </c>
      <c r="C520" t="str">
        <f t="shared" si="33"/>
        <v>63</v>
      </c>
      <c r="D520" t="str">
        <f t="shared" si="34"/>
        <v>637</v>
      </c>
      <c r="E520" t="str">
        <f t="shared" si="35"/>
        <v>6374</v>
      </c>
      <c r="F520" s="10" t="s">
        <v>1208</v>
      </c>
      <c r="G520" t="s">
        <v>1209</v>
      </c>
      <c r="H520" s="5">
        <v>22000</v>
      </c>
      <c r="I520" s="5">
        <v>0</v>
      </c>
      <c r="J520" s="5">
        <v>0</v>
      </c>
    </row>
    <row r="521" spans="1:10" x14ac:dyDescent="0.3">
      <c r="A521" t="s">
        <v>96</v>
      </c>
      <c r="B521" t="str">
        <f t="shared" si="32"/>
        <v>6</v>
      </c>
      <c r="C521" t="str">
        <f t="shared" si="33"/>
        <v>63</v>
      </c>
      <c r="D521" t="str">
        <f t="shared" si="34"/>
        <v>638</v>
      </c>
      <c r="E521" t="str">
        <f t="shared" si="35"/>
        <v>6383</v>
      </c>
      <c r="F521" s="10" t="s">
        <v>1210</v>
      </c>
      <c r="G521" t="s">
        <v>1211</v>
      </c>
      <c r="H521" s="5">
        <v>0</v>
      </c>
      <c r="I521" s="5">
        <v>0</v>
      </c>
      <c r="J521" s="5">
        <v>0</v>
      </c>
    </row>
    <row r="522" spans="1:10" x14ac:dyDescent="0.3">
      <c r="A522" t="s">
        <v>96</v>
      </c>
      <c r="B522" t="str">
        <f t="shared" si="32"/>
        <v>6</v>
      </c>
      <c r="C522" t="str">
        <f t="shared" si="33"/>
        <v>63</v>
      </c>
      <c r="D522" t="str">
        <f t="shared" si="34"/>
        <v>638</v>
      </c>
      <c r="E522" t="str">
        <f t="shared" si="35"/>
        <v>6383</v>
      </c>
      <c r="F522" s="10" t="s">
        <v>1212</v>
      </c>
      <c r="G522" t="s">
        <v>1213</v>
      </c>
      <c r="H522" s="5">
        <v>53100</v>
      </c>
      <c r="I522" s="5">
        <v>190800</v>
      </c>
      <c r="J522" s="5">
        <v>256600</v>
      </c>
    </row>
    <row r="523" spans="1:10" x14ac:dyDescent="0.3">
      <c r="A523" t="s">
        <v>96</v>
      </c>
      <c r="B523" t="str">
        <f t="shared" si="32"/>
        <v>6</v>
      </c>
      <c r="C523" t="str">
        <f t="shared" si="33"/>
        <v>63</v>
      </c>
      <c r="D523" t="str">
        <f t="shared" si="34"/>
        <v>638</v>
      </c>
      <c r="E523" t="str">
        <f t="shared" si="35"/>
        <v>6383</v>
      </c>
      <c r="F523" s="10" t="s">
        <v>1214</v>
      </c>
      <c r="G523" t="s">
        <v>1215</v>
      </c>
      <c r="H523" s="5">
        <v>198200</v>
      </c>
      <c r="I523" s="5">
        <v>150000</v>
      </c>
      <c r="J523" s="5">
        <v>36000</v>
      </c>
    </row>
    <row r="524" spans="1:10" x14ac:dyDescent="0.3">
      <c r="A524" t="s">
        <v>96</v>
      </c>
      <c r="B524" t="str">
        <f t="shared" si="32"/>
        <v>6</v>
      </c>
      <c r="C524" t="str">
        <f t="shared" si="33"/>
        <v>63</v>
      </c>
      <c r="D524" t="str">
        <f t="shared" si="34"/>
        <v>638</v>
      </c>
      <c r="E524" t="str">
        <f t="shared" si="35"/>
        <v>6383</v>
      </c>
      <c r="F524" s="10" t="s">
        <v>1216</v>
      </c>
      <c r="G524" t="s">
        <v>1217</v>
      </c>
      <c r="H524" s="5">
        <v>14350</v>
      </c>
      <c r="I524" s="5">
        <v>14050</v>
      </c>
      <c r="J524" s="5">
        <v>0</v>
      </c>
    </row>
    <row r="525" spans="1:10" x14ac:dyDescent="0.3">
      <c r="A525" t="s">
        <v>96</v>
      </c>
      <c r="B525" t="str">
        <f t="shared" si="32"/>
        <v>6</v>
      </c>
      <c r="C525" t="str">
        <f t="shared" si="33"/>
        <v>63</v>
      </c>
      <c r="D525" t="str">
        <f t="shared" si="34"/>
        <v>638</v>
      </c>
      <c r="E525" t="str">
        <f t="shared" si="35"/>
        <v>6383</v>
      </c>
      <c r="F525" s="10" t="s">
        <v>1218</v>
      </c>
      <c r="G525" t="s">
        <v>1219</v>
      </c>
      <c r="H525" s="5">
        <v>5134938</v>
      </c>
      <c r="I525" s="5">
        <v>7982352</v>
      </c>
      <c r="J525" s="5">
        <v>6800980</v>
      </c>
    </row>
    <row r="526" spans="1:10" x14ac:dyDescent="0.3">
      <c r="A526" t="s">
        <v>96</v>
      </c>
      <c r="B526" t="str">
        <f t="shared" si="32"/>
        <v>6</v>
      </c>
      <c r="C526" t="str">
        <f t="shared" si="33"/>
        <v>63</v>
      </c>
      <c r="D526" t="str">
        <f t="shared" si="34"/>
        <v>638</v>
      </c>
      <c r="E526" t="str">
        <f t="shared" si="35"/>
        <v>6384</v>
      </c>
      <c r="F526" s="10" t="s">
        <v>1220</v>
      </c>
      <c r="G526" t="s">
        <v>1221</v>
      </c>
      <c r="H526" s="5">
        <v>0</v>
      </c>
      <c r="I526" s="5">
        <v>0</v>
      </c>
      <c r="J526" s="5">
        <v>0</v>
      </c>
    </row>
    <row r="527" spans="1:10" x14ac:dyDescent="0.3">
      <c r="A527" t="s">
        <v>96</v>
      </c>
      <c r="B527" t="str">
        <f t="shared" si="32"/>
        <v>6</v>
      </c>
      <c r="C527" t="str">
        <f t="shared" si="33"/>
        <v>63</v>
      </c>
      <c r="D527" t="str">
        <f t="shared" si="34"/>
        <v>638</v>
      </c>
      <c r="E527" t="str">
        <f t="shared" si="35"/>
        <v>6384</v>
      </c>
      <c r="F527" s="10" t="s">
        <v>1222</v>
      </c>
      <c r="G527" t="s">
        <v>1223</v>
      </c>
      <c r="H527" s="5">
        <v>318500</v>
      </c>
      <c r="I527" s="5">
        <v>18655615</v>
      </c>
      <c r="J527" s="5">
        <v>345000</v>
      </c>
    </row>
    <row r="528" spans="1:10" x14ac:dyDescent="0.3">
      <c r="A528" t="s">
        <v>96</v>
      </c>
      <c r="B528" t="str">
        <f t="shared" si="32"/>
        <v>6</v>
      </c>
      <c r="C528" t="str">
        <f t="shared" si="33"/>
        <v>63</v>
      </c>
      <c r="D528" t="str">
        <f t="shared" si="34"/>
        <v>638</v>
      </c>
      <c r="E528" t="str">
        <f t="shared" si="35"/>
        <v>6384</v>
      </c>
      <c r="F528" s="10" t="s">
        <v>1224</v>
      </c>
      <c r="G528" t="s">
        <v>1225</v>
      </c>
      <c r="H528" s="5">
        <v>59000</v>
      </c>
      <c r="I528" s="5">
        <v>55500</v>
      </c>
      <c r="J528" s="5">
        <v>332500</v>
      </c>
    </row>
    <row r="529" spans="1:10" x14ac:dyDescent="0.3">
      <c r="A529" t="s">
        <v>96</v>
      </c>
      <c r="B529" t="str">
        <f t="shared" si="32"/>
        <v>6</v>
      </c>
      <c r="C529" t="str">
        <f t="shared" si="33"/>
        <v>63</v>
      </c>
      <c r="D529" t="str">
        <f t="shared" si="34"/>
        <v>638</v>
      </c>
      <c r="E529" t="str">
        <f t="shared" si="35"/>
        <v>6384</v>
      </c>
      <c r="F529" s="10" t="s">
        <v>1226</v>
      </c>
      <c r="G529" t="s">
        <v>1227</v>
      </c>
      <c r="H529" s="5">
        <v>196500</v>
      </c>
      <c r="I529" s="5">
        <v>385000</v>
      </c>
      <c r="J529" s="5">
        <v>130500</v>
      </c>
    </row>
    <row r="530" spans="1:10" x14ac:dyDescent="0.3">
      <c r="A530" t="s">
        <v>96</v>
      </c>
      <c r="B530" t="str">
        <f t="shared" si="32"/>
        <v>6</v>
      </c>
      <c r="C530" t="str">
        <f t="shared" si="33"/>
        <v>63</v>
      </c>
      <c r="D530" t="str">
        <f t="shared" si="34"/>
        <v>638</v>
      </c>
      <c r="E530" t="str">
        <f t="shared" si="35"/>
        <v>6384</v>
      </c>
      <c r="F530" s="10" t="s">
        <v>1228</v>
      </c>
      <c r="G530" t="s">
        <v>1229</v>
      </c>
      <c r="H530" s="5">
        <v>1439800</v>
      </c>
      <c r="I530" s="5">
        <v>5319000</v>
      </c>
      <c r="J530" s="5">
        <v>4215600</v>
      </c>
    </row>
    <row r="531" spans="1:10" x14ac:dyDescent="0.3">
      <c r="A531" t="s">
        <v>96</v>
      </c>
      <c r="B531" t="str">
        <f t="shared" si="32"/>
        <v>6</v>
      </c>
      <c r="C531" t="str">
        <f t="shared" si="33"/>
        <v>63</v>
      </c>
      <c r="D531" t="str">
        <f t="shared" si="34"/>
        <v>638</v>
      </c>
      <c r="E531" t="str">
        <f t="shared" si="35"/>
        <v>6385</v>
      </c>
      <c r="F531" s="10" t="s">
        <v>1230</v>
      </c>
      <c r="G531" t="s">
        <v>1231</v>
      </c>
      <c r="H531" s="5">
        <v>0</v>
      </c>
      <c r="I531" s="5">
        <v>0</v>
      </c>
      <c r="J531" s="5">
        <v>0</v>
      </c>
    </row>
    <row r="532" spans="1:10" x14ac:dyDescent="0.3">
      <c r="A532" t="s">
        <v>96</v>
      </c>
      <c r="B532" t="str">
        <f t="shared" si="32"/>
        <v>6</v>
      </c>
      <c r="C532" t="str">
        <f t="shared" si="33"/>
        <v>63</v>
      </c>
      <c r="D532" t="str">
        <f t="shared" si="34"/>
        <v>638</v>
      </c>
      <c r="E532" t="str">
        <f t="shared" si="35"/>
        <v>6385</v>
      </c>
      <c r="F532" s="10" t="s">
        <v>1232</v>
      </c>
      <c r="G532" t="s">
        <v>1233</v>
      </c>
      <c r="H532" s="5">
        <v>1000000</v>
      </c>
      <c r="I532" s="5">
        <v>492000</v>
      </c>
      <c r="J532" s="5">
        <v>4526000</v>
      </c>
    </row>
    <row r="533" spans="1:10" x14ac:dyDescent="0.3">
      <c r="A533" t="s">
        <v>96</v>
      </c>
      <c r="B533" t="str">
        <f t="shared" si="32"/>
        <v>6</v>
      </c>
      <c r="C533" t="str">
        <f t="shared" si="33"/>
        <v>63</v>
      </c>
      <c r="D533" t="str">
        <f t="shared" si="34"/>
        <v>638</v>
      </c>
      <c r="E533" t="str">
        <f t="shared" si="35"/>
        <v>6385</v>
      </c>
      <c r="F533" s="10" t="s">
        <v>1234</v>
      </c>
      <c r="G533" t="s">
        <v>1235</v>
      </c>
      <c r="H533" s="5">
        <v>236000</v>
      </c>
      <c r="I533" s="5">
        <v>0</v>
      </c>
      <c r="J533" s="5">
        <v>165000</v>
      </c>
    </row>
    <row r="534" spans="1:10" x14ac:dyDescent="0.3">
      <c r="A534" t="s">
        <v>96</v>
      </c>
      <c r="B534" t="str">
        <f t="shared" si="32"/>
        <v>6</v>
      </c>
      <c r="C534" t="str">
        <f t="shared" si="33"/>
        <v>63</v>
      </c>
      <c r="D534" t="str">
        <f t="shared" si="34"/>
        <v>638</v>
      </c>
      <c r="E534" t="str">
        <f t="shared" si="35"/>
        <v>6385</v>
      </c>
      <c r="F534" s="10" t="s">
        <v>1236</v>
      </c>
      <c r="G534" t="s">
        <v>1237</v>
      </c>
      <c r="H534" s="5">
        <v>0</v>
      </c>
      <c r="I534" s="5">
        <v>0</v>
      </c>
      <c r="J534" s="5">
        <v>0</v>
      </c>
    </row>
    <row r="535" spans="1:10" x14ac:dyDescent="0.3">
      <c r="A535" t="s">
        <v>96</v>
      </c>
      <c r="B535" t="str">
        <f t="shared" si="32"/>
        <v>6</v>
      </c>
      <c r="C535" t="str">
        <f t="shared" si="33"/>
        <v>63</v>
      </c>
      <c r="D535" t="str">
        <f t="shared" si="34"/>
        <v>638</v>
      </c>
      <c r="E535" t="str">
        <f t="shared" si="35"/>
        <v>6385</v>
      </c>
      <c r="F535" s="10" t="s">
        <v>1238</v>
      </c>
      <c r="G535" t="s">
        <v>1239</v>
      </c>
      <c r="H535" s="5">
        <v>2495000</v>
      </c>
      <c r="I535" s="5">
        <v>3084000</v>
      </c>
      <c r="J535" s="5">
        <v>1385000</v>
      </c>
    </row>
    <row r="536" spans="1:10" x14ac:dyDescent="0.3">
      <c r="A536" t="s">
        <v>96</v>
      </c>
      <c r="B536" t="str">
        <f t="shared" si="32"/>
        <v>6</v>
      </c>
      <c r="C536" t="str">
        <f t="shared" si="33"/>
        <v>63</v>
      </c>
      <c r="D536" t="str">
        <f t="shared" si="34"/>
        <v>638</v>
      </c>
      <c r="E536" t="str">
        <f t="shared" si="35"/>
        <v>6386</v>
      </c>
      <c r="F536" s="10" t="s">
        <v>1240</v>
      </c>
      <c r="G536" t="s">
        <v>1241</v>
      </c>
      <c r="H536" s="5">
        <v>0</v>
      </c>
      <c r="I536" s="5">
        <v>0</v>
      </c>
      <c r="J536" s="5">
        <v>0</v>
      </c>
    </row>
    <row r="537" spans="1:10" x14ac:dyDescent="0.3">
      <c r="A537" t="s">
        <v>96</v>
      </c>
      <c r="B537" t="str">
        <f t="shared" si="32"/>
        <v>6</v>
      </c>
      <c r="C537" t="str">
        <f t="shared" si="33"/>
        <v>63</v>
      </c>
      <c r="D537" t="str">
        <f t="shared" si="34"/>
        <v>638</v>
      </c>
      <c r="E537" t="str">
        <f t="shared" si="35"/>
        <v>6386</v>
      </c>
      <c r="F537" s="10" t="s">
        <v>1242</v>
      </c>
      <c r="G537" t="s">
        <v>1243</v>
      </c>
      <c r="H537" s="5">
        <v>240000</v>
      </c>
      <c r="I537" s="5">
        <v>0</v>
      </c>
      <c r="J537" s="5">
        <v>0</v>
      </c>
    </row>
    <row r="538" spans="1:10" x14ac:dyDescent="0.3">
      <c r="A538" t="s">
        <v>96</v>
      </c>
      <c r="B538" t="str">
        <f t="shared" si="32"/>
        <v>6</v>
      </c>
      <c r="C538" t="str">
        <f t="shared" si="33"/>
        <v>63</v>
      </c>
      <c r="D538" t="str">
        <f t="shared" si="34"/>
        <v>638</v>
      </c>
      <c r="E538" t="str">
        <f t="shared" si="35"/>
        <v>6386</v>
      </c>
      <c r="F538" s="10" t="s">
        <v>1244</v>
      </c>
      <c r="G538" t="s">
        <v>1245</v>
      </c>
      <c r="H538" s="5">
        <v>0</v>
      </c>
      <c r="I538" s="5">
        <v>0</v>
      </c>
      <c r="J538" s="5">
        <v>0</v>
      </c>
    </row>
    <row r="539" spans="1:10" x14ac:dyDescent="0.3">
      <c r="A539" t="s">
        <v>96</v>
      </c>
      <c r="B539" t="str">
        <f t="shared" si="32"/>
        <v>6</v>
      </c>
      <c r="C539" t="str">
        <f t="shared" si="33"/>
        <v>63</v>
      </c>
      <c r="D539" t="str">
        <f t="shared" si="34"/>
        <v>638</v>
      </c>
      <c r="E539" t="str">
        <f t="shared" si="35"/>
        <v>6386</v>
      </c>
      <c r="F539" s="10" t="s">
        <v>1246</v>
      </c>
      <c r="G539" t="s">
        <v>1247</v>
      </c>
      <c r="H539" s="5">
        <v>10280566</v>
      </c>
      <c r="I539" s="5">
        <v>4979234</v>
      </c>
      <c r="J539" s="5">
        <v>7235795</v>
      </c>
    </row>
    <row r="540" spans="1:10" x14ac:dyDescent="0.3">
      <c r="A540" t="s">
        <v>96</v>
      </c>
      <c r="B540" t="str">
        <f t="shared" si="32"/>
        <v>6</v>
      </c>
      <c r="C540" t="str">
        <f t="shared" si="33"/>
        <v>63</v>
      </c>
      <c r="D540" t="str">
        <f t="shared" si="34"/>
        <v>638</v>
      </c>
      <c r="E540" t="str">
        <f t="shared" si="35"/>
        <v>6388</v>
      </c>
      <c r="F540" s="10" t="s">
        <v>1248</v>
      </c>
      <c r="G540" t="s">
        <v>1249</v>
      </c>
      <c r="H540" s="5">
        <v>0</v>
      </c>
      <c r="I540" s="5">
        <v>0</v>
      </c>
      <c r="J540" s="5">
        <v>0</v>
      </c>
    </row>
    <row r="541" spans="1:10" x14ac:dyDescent="0.3">
      <c r="A541" t="s">
        <v>118</v>
      </c>
      <c r="B541" t="str">
        <f t="shared" si="32"/>
        <v>6</v>
      </c>
      <c r="C541" t="str">
        <f t="shared" si="33"/>
        <v>64</v>
      </c>
      <c r="D541" t="str">
        <f t="shared" si="34"/>
        <v>641</v>
      </c>
      <c r="E541" t="str">
        <f t="shared" si="35"/>
        <v>6411</v>
      </c>
      <c r="F541" s="10" t="s">
        <v>1250</v>
      </c>
      <c r="G541" t="s">
        <v>1251</v>
      </c>
      <c r="H541" s="5">
        <v>1092740</v>
      </c>
      <c r="I541" s="5">
        <v>5290410</v>
      </c>
      <c r="J541" s="5">
        <v>2599611</v>
      </c>
    </row>
    <row r="542" spans="1:10" x14ac:dyDescent="0.3">
      <c r="A542" t="s">
        <v>118</v>
      </c>
      <c r="B542" t="str">
        <f t="shared" si="32"/>
        <v>6</v>
      </c>
      <c r="C542" t="str">
        <f t="shared" si="33"/>
        <v>64</v>
      </c>
      <c r="D542" t="str">
        <f t="shared" si="34"/>
        <v>641</v>
      </c>
      <c r="E542" t="str">
        <f t="shared" si="35"/>
        <v>6412</v>
      </c>
      <c r="F542" s="10" t="s">
        <v>1252</v>
      </c>
      <c r="G542" t="s">
        <v>1253</v>
      </c>
      <c r="H542" s="5">
        <v>2908460</v>
      </c>
      <c r="I542" s="5">
        <v>806000</v>
      </c>
      <c r="J542" s="5">
        <v>0</v>
      </c>
    </row>
    <row r="543" spans="1:10" x14ac:dyDescent="0.3">
      <c r="A543" t="s">
        <v>118</v>
      </c>
      <c r="B543" t="str">
        <f t="shared" si="32"/>
        <v>6</v>
      </c>
      <c r="C543" t="str">
        <f t="shared" si="33"/>
        <v>64</v>
      </c>
      <c r="D543" t="str">
        <f t="shared" si="34"/>
        <v>641</v>
      </c>
      <c r="E543" t="str">
        <f t="shared" si="35"/>
        <v>6413</v>
      </c>
      <c r="F543" s="10" t="s">
        <v>1254</v>
      </c>
      <c r="G543" t="s">
        <v>1255</v>
      </c>
      <c r="H543" s="5">
        <v>0</v>
      </c>
      <c r="I543" s="5">
        <v>0</v>
      </c>
      <c r="J543" s="5">
        <v>0</v>
      </c>
    </row>
    <row r="544" spans="1:10" x14ac:dyDescent="0.3">
      <c r="A544" t="s">
        <v>118</v>
      </c>
      <c r="B544" t="str">
        <f t="shared" si="32"/>
        <v>6</v>
      </c>
      <c r="C544" t="str">
        <f t="shared" si="33"/>
        <v>64</v>
      </c>
      <c r="D544" t="str">
        <f t="shared" si="34"/>
        <v>641</v>
      </c>
      <c r="E544" t="str">
        <f t="shared" si="35"/>
        <v>6413</v>
      </c>
      <c r="F544" s="10" t="s">
        <v>1256</v>
      </c>
      <c r="G544" t="s">
        <v>1257</v>
      </c>
      <c r="H544" s="5">
        <v>4808381</v>
      </c>
      <c r="I544" s="5">
        <v>396250</v>
      </c>
      <c r="J544" s="5">
        <v>4959660</v>
      </c>
    </row>
    <row r="545" spans="1:10" x14ac:dyDescent="0.3">
      <c r="A545" t="s">
        <v>118</v>
      </c>
      <c r="B545" t="str">
        <f t="shared" si="32"/>
        <v>6</v>
      </c>
      <c r="C545" t="str">
        <f t="shared" si="33"/>
        <v>64</v>
      </c>
      <c r="D545" t="str">
        <f t="shared" si="34"/>
        <v>641</v>
      </c>
      <c r="E545" t="str">
        <f t="shared" si="35"/>
        <v>6413</v>
      </c>
      <c r="F545" s="10" t="s">
        <v>1258</v>
      </c>
      <c r="G545" t="s">
        <v>1259</v>
      </c>
      <c r="H545" s="5">
        <v>2907103</v>
      </c>
      <c r="I545" s="5">
        <v>340246</v>
      </c>
      <c r="J545" s="5">
        <v>3669346</v>
      </c>
    </row>
    <row r="546" spans="1:10" x14ac:dyDescent="0.3">
      <c r="A546" t="s">
        <v>118</v>
      </c>
      <c r="B546" t="str">
        <f t="shared" si="32"/>
        <v>6</v>
      </c>
      <c r="C546" t="str">
        <f t="shared" si="33"/>
        <v>64</v>
      </c>
      <c r="D546" t="str">
        <f t="shared" si="34"/>
        <v>641</v>
      </c>
      <c r="E546" t="str">
        <f t="shared" si="35"/>
        <v>6413</v>
      </c>
      <c r="F546" s="10" t="s">
        <v>1260</v>
      </c>
      <c r="G546" t="s">
        <v>1261</v>
      </c>
      <c r="H546" s="5">
        <v>1029323</v>
      </c>
      <c r="I546" s="5">
        <v>109157</v>
      </c>
      <c r="J546" s="5">
        <v>742653</v>
      </c>
    </row>
    <row r="547" spans="1:10" x14ac:dyDescent="0.3">
      <c r="A547" t="s">
        <v>118</v>
      </c>
      <c r="B547" t="str">
        <f t="shared" si="32"/>
        <v>6</v>
      </c>
      <c r="C547" t="str">
        <f t="shared" si="33"/>
        <v>64</v>
      </c>
      <c r="D547" t="str">
        <f t="shared" si="34"/>
        <v>641</v>
      </c>
      <c r="E547" t="str">
        <f t="shared" si="35"/>
        <v>6413</v>
      </c>
      <c r="F547" s="10" t="s">
        <v>1262</v>
      </c>
      <c r="G547" t="s">
        <v>1263</v>
      </c>
      <c r="H547" s="5">
        <v>2653505</v>
      </c>
      <c r="I547" s="5">
        <v>238717</v>
      </c>
      <c r="J547" s="5">
        <v>2942952</v>
      </c>
    </row>
    <row r="548" spans="1:10" x14ac:dyDescent="0.3">
      <c r="A548" t="s">
        <v>118</v>
      </c>
      <c r="B548" t="str">
        <f t="shared" si="32"/>
        <v>6</v>
      </c>
      <c r="C548" t="str">
        <f t="shared" si="33"/>
        <v>64</v>
      </c>
      <c r="D548" t="str">
        <f t="shared" si="34"/>
        <v>641</v>
      </c>
      <c r="E548" t="str">
        <f t="shared" si="35"/>
        <v>6414</v>
      </c>
      <c r="F548" s="10" t="s">
        <v>1264</v>
      </c>
      <c r="G548" t="s">
        <v>1265</v>
      </c>
      <c r="H548" s="5">
        <v>0</v>
      </c>
      <c r="I548" s="5">
        <v>0</v>
      </c>
      <c r="J548" s="5">
        <v>0</v>
      </c>
    </row>
    <row r="549" spans="1:10" x14ac:dyDescent="0.3">
      <c r="A549" t="s">
        <v>118</v>
      </c>
      <c r="B549" t="str">
        <f t="shared" si="32"/>
        <v>6</v>
      </c>
      <c r="C549" t="str">
        <f t="shared" si="33"/>
        <v>64</v>
      </c>
      <c r="D549" t="str">
        <f t="shared" si="34"/>
        <v>641</v>
      </c>
      <c r="E549" t="str">
        <f t="shared" si="35"/>
        <v>6414</v>
      </c>
      <c r="F549" s="10" t="s">
        <v>1266</v>
      </c>
      <c r="G549" t="s">
        <v>1267</v>
      </c>
      <c r="H549" s="5">
        <v>1602876</v>
      </c>
      <c r="I549" s="5">
        <v>1253081</v>
      </c>
      <c r="J549" s="5">
        <v>1653241</v>
      </c>
    </row>
    <row r="550" spans="1:10" x14ac:dyDescent="0.3">
      <c r="A550" t="s">
        <v>118</v>
      </c>
      <c r="B550" t="str">
        <f t="shared" si="32"/>
        <v>6</v>
      </c>
      <c r="C550" t="str">
        <f t="shared" si="33"/>
        <v>64</v>
      </c>
      <c r="D550" t="str">
        <f t="shared" si="34"/>
        <v>641</v>
      </c>
      <c r="E550" t="str">
        <f t="shared" si="35"/>
        <v>6414</v>
      </c>
      <c r="F550" s="10" t="s">
        <v>1268</v>
      </c>
      <c r="G550" t="s">
        <v>1269</v>
      </c>
      <c r="H550" s="5">
        <v>969167</v>
      </c>
      <c r="I550" s="5">
        <v>1076094</v>
      </c>
      <c r="J550" s="5">
        <v>1223187</v>
      </c>
    </row>
    <row r="551" spans="1:10" x14ac:dyDescent="0.3">
      <c r="A551" t="s">
        <v>118</v>
      </c>
      <c r="B551" t="str">
        <f t="shared" si="32"/>
        <v>6</v>
      </c>
      <c r="C551" t="str">
        <f t="shared" si="33"/>
        <v>64</v>
      </c>
      <c r="D551" t="str">
        <f t="shared" si="34"/>
        <v>641</v>
      </c>
      <c r="E551" t="str">
        <f t="shared" si="35"/>
        <v>6414</v>
      </c>
      <c r="F551" s="10" t="s">
        <v>1270</v>
      </c>
      <c r="G551" t="s">
        <v>1271</v>
      </c>
      <c r="H551" s="5">
        <v>343116</v>
      </c>
      <c r="I551" s="5">
        <v>345191</v>
      </c>
      <c r="J551" s="5">
        <v>247561</v>
      </c>
    </row>
    <row r="552" spans="1:10" x14ac:dyDescent="0.3">
      <c r="A552" t="s">
        <v>118</v>
      </c>
      <c r="B552" t="str">
        <f t="shared" si="32"/>
        <v>6</v>
      </c>
      <c r="C552" t="str">
        <f t="shared" si="33"/>
        <v>64</v>
      </c>
      <c r="D552" t="str">
        <f t="shared" si="34"/>
        <v>641</v>
      </c>
      <c r="E552" t="str">
        <f t="shared" si="35"/>
        <v>6414</v>
      </c>
      <c r="F552" s="10" t="s">
        <v>1272</v>
      </c>
      <c r="G552" t="s">
        <v>1273</v>
      </c>
      <c r="H552" s="5">
        <v>880685</v>
      </c>
      <c r="I552" s="5">
        <v>754930</v>
      </c>
      <c r="J552" s="5">
        <v>980989</v>
      </c>
    </row>
    <row r="553" spans="1:10" x14ac:dyDescent="0.3">
      <c r="A553" t="s">
        <v>118</v>
      </c>
      <c r="B553" t="str">
        <f t="shared" si="32"/>
        <v>6</v>
      </c>
      <c r="C553" t="str">
        <f t="shared" si="33"/>
        <v>64</v>
      </c>
      <c r="D553" t="str">
        <f t="shared" si="34"/>
        <v>641</v>
      </c>
      <c r="E553" t="str">
        <f t="shared" si="35"/>
        <v>6415</v>
      </c>
      <c r="F553" s="10" t="s">
        <v>1274</v>
      </c>
      <c r="G553" t="s">
        <v>1275</v>
      </c>
      <c r="H553" s="5">
        <v>0</v>
      </c>
      <c r="I553" s="5">
        <v>0</v>
      </c>
      <c r="J553" s="5">
        <v>0</v>
      </c>
    </row>
    <row r="554" spans="1:10" x14ac:dyDescent="0.3">
      <c r="A554" t="s">
        <v>118</v>
      </c>
      <c r="B554" t="str">
        <f t="shared" si="32"/>
        <v>6</v>
      </c>
      <c r="C554" t="str">
        <f t="shared" si="33"/>
        <v>64</v>
      </c>
      <c r="D554" t="str">
        <f t="shared" si="34"/>
        <v>641</v>
      </c>
      <c r="E554" t="str">
        <f t="shared" si="35"/>
        <v>6415</v>
      </c>
      <c r="F554" s="10" t="s">
        <v>1276</v>
      </c>
      <c r="G554" t="s">
        <v>1277</v>
      </c>
      <c r="H554" s="5">
        <v>2404232</v>
      </c>
      <c r="I554" s="5">
        <v>1567319</v>
      </c>
      <c r="J554" s="5">
        <v>2479771</v>
      </c>
    </row>
    <row r="555" spans="1:10" x14ac:dyDescent="0.3">
      <c r="A555" t="s">
        <v>118</v>
      </c>
      <c r="B555" t="str">
        <f t="shared" si="32"/>
        <v>6</v>
      </c>
      <c r="C555" t="str">
        <f t="shared" si="33"/>
        <v>64</v>
      </c>
      <c r="D555" t="str">
        <f t="shared" si="34"/>
        <v>641</v>
      </c>
      <c r="E555" t="str">
        <f t="shared" si="35"/>
        <v>6415</v>
      </c>
      <c r="F555" s="10" t="s">
        <v>1278</v>
      </c>
      <c r="G555" t="s">
        <v>1279</v>
      </c>
      <c r="H555" s="5">
        <v>1453675</v>
      </c>
      <c r="I555" s="5">
        <v>1345788</v>
      </c>
      <c r="J555" s="5">
        <v>1834680</v>
      </c>
    </row>
    <row r="556" spans="1:10" x14ac:dyDescent="0.3">
      <c r="A556" t="s">
        <v>118</v>
      </c>
      <c r="B556" t="str">
        <f t="shared" si="32"/>
        <v>6</v>
      </c>
      <c r="C556" t="str">
        <f t="shared" si="33"/>
        <v>64</v>
      </c>
      <c r="D556" t="str">
        <f t="shared" si="34"/>
        <v>641</v>
      </c>
      <c r="E556" t="str">
        <f t="shared" si="35"/>
        <v>6415</v>
      </c>
      <c r="F556" s="10" t="s">
        <v>1280</v>
      </c>
      <c r="G556" t="s">
        <v>1281</v>
      </c>
      <c r="H556" s="5">
        <v>514707</v>
      </c>
      <c r="I556" s="5">
        <v>431758</v>
      </c>
      <c r="J556" s="5">
        <v>371344</v>
      </c>
    </row>
    <row r="557" spans="1:10" x14ac:dyDescent="0.3">
      <c r="A557" t="s">
        <v>118</v>
      </c>
      <c r="B557" t="str">
        <f t="shared" si="32"/>
        <v>6</v>
      </c>
      <c r="C557" t="str">
        <f t="shared" si="33"/>
        <v>64</v>
      </c>
      <c r="D557" t="str">
        <f t="shared" si="34"/>
        <v>641</v>
      </c>
      <c r="E557" t="str">
        <f t="shared" si="35"/>
        <v>6415</v>
      </c>
      <c r="F557" s="10" t="s">
        <v>1282</v>
      </c>
      <c r="G557" t="s">
        <v>1283</v>
      </c>
      <c r="H557" s="5">
        <v>1321150</v>
      </c>
      <c r="I557" s="5">
        <v>944215</v>
      </c>
      <c r="J557" s="5">
        <v>1471541</v>
      </c>
    </row>
    <row r="558" spans="1:10" x14ac:dyDescent="0.3">
      <c r="A558" t="s">
        <v>118</v>
      </c>
      <c r="B558" t="str">
        <f t="shared" si="32"/>
        <v>6</v>
      </c>
      <c r="C558" t="str">
        <f t="shared" si="33"/>
        <v>64</v>
      </c>
      <c r="D558" t="str">
        <f t="shared" si="34"/>
        <v>641</v>
      </c>
      <c r="E558" t="str">
        <f t="shared" si="35"/>
        <v>6417</v>
      </c>
      <c r="F558" s="10" t="s">
        <v>1284</v>
      </c>
      <c r="G558" t="s">
        <v>484</v>
      </c>
      <c r="H558" s="5">
        <v>24527025</v>
      </c>
      <c r="I558" s="5">
        <v>19979551</v>
      </c>
      <c r="J558" s="5">
        <v>24427159</v>
      </c>
    </row>
    <row r="559" spans="1:10" x14ac:dyDescent="0.3">
      <c r="A559" t="s">
        <v>118</v>
      </c>
      <c r="B559" t="str">
        <f t="shared" si="32"/>
        <v>6</v>
      </c>
      <c r="C559" t="str">
        <f t="shared" si="33"/>
        <v>64</v>
      </c>
      <c r="D559" t="str">
        <f t="shared" si="34"/>
        <v>641</v>
      </c>
      <c r="E559" t="str">
        <f t="shared" si="35"/>
        <v>6418</v>
      </c>
      <c r="F559" s="10" t="s">
        <v>1285</v>
      </c>
      <c r="G559" t="s">
        <v>1286</v>
      </c>
      <c r="H559" s="5">
        <v>11067414</v>
      </c>
      <c r="I559" s="5">
        <v>0</v>
      </c>
      <c r="J559" s="5">
        <v>0</v>
      </c>
    </row>
    <row r="560" spans="1:10" x14ac:dyDescent="0.3">
      <c r="A560" t="s">
        <v>118</v>
      </c>
      <c r="B560" t="str">
        <f t="shared" si="32"/>
        <v>6</v>
      </c>
      <c r="C560" t="str">
        <f t="shared" si="33"/>
        <v>64</v>
      </c>
      <c r="D560" t="str">
        <f t="shared" si="34"/>
        <v>645</v>
      </c>
      <c r="E560" t="str">
        <f t="shared" si="35"/>
        <v>6451</v>
      </c>
      <c r="F560" s="10" t="s">
        <v>1287</v>
      </c>
      <c r="G560" t="s">
        <v>1288</v>
      </c>
      <c r="H560" s="5">
        <v>1405702</v>
      </c>
      <c r="I560" s="5">
        <v>6485448</v>
      </c>
      <c r="J560" s="5">
        <v>4606912</v>
      </c>
    </row>
    <row r="561" spans="1:10" x14ac:dyDescent="0.3">
      <c r="A561" t="s">
        <v>118</v>
      </c>
      <c r="B561" t="str">
        <f t="shared" si="32"/>
        <v>6</v>
      </c>
      <c r="C561" t="str">
        <f t="shared" si="33"/>
        <v>64</v>
      </c>
      <c r="D561" t="str">
        <f t="shared" si="34"/>
        <v>646</v>
      </c>
      <c r="E561" t="str">
        <f t="shared" si="35"/>
        <v>6461</v>
      </c>
      <c r="F561" s="10" t="s">
        <v>1289</v>
      </c>
      <c r="G561" t="s">
        <v>1290</v>
      </c>
      <c r="H561" s="5">
        <v>0</v>
      </c>
      <c r="I561" s="5">
        <v>70000</v>
      </c>
      <c r="J561" s="5">
        <v>26705</v>
      </c>
    </row>
    <row r="562" spans="1:10" x14ac:dyDescent="0.3">
      <c r="A562" t="s">
        <v>118</v>
      </c>
      <c r="B562" t="str">
        <f t="shared" si="32"/>
        <v>6</v>
      </c>
      <c r="C562" t="str">
        <f t="shared" si="33"/>
        <v>64</v>
      </c>
      <c r="D562" t="str">
        <f t="shared" si="34"/>
        <v>646</v>
      </c>
      <c r="E562" t="str">
        <f t="shared" si="35"/>
        <v>6462</v>
      </c>
      <c r="F562" s="10" t="s">
        <v>1291</v>
      </c>
      <c r="G562" t="s">
        <v>1292</v>
      </c>
      <c r="H562" s="5">
        <v>72000</v>
      </c>
      <c r="I562" s="5">
        <v>54600</v>
      </c>
      <c r="J562" s="5">
        <v>62800</v>
      </c>
    </row>
    <row r="563" spans="1:10" x14ac:dyDescent="0.3">
      <c r="A563" t="s">
        <v>118</v>
      </c>
      <c r="B563" t="str">
        <f t="shared" si="32"/>
        <v>6</v>
      </c>
      <c r="C563" t="str">
        <f t="shared" si="33"/>
        <v>64</v>
      </c>
      <c r="D563" t="str">
        <f t="shared" si="34"/>
        <v>646</v>
      </c>
      <c r="E563" t="str">
        <f t="shared" si="35"/>
        <v>6463</v>
      </c>
      <c r="F563" s="10" t="s">
        <v>1293</v>
      </c>
      <c r="G563" t="s">
        <v>1294</v>
      </c>
      <c r="H563" s="5">
        <v>0</v>
      </c>
      <c r="I563" s="5">
        <v>0</v>
      </c>
      <c r="J563" s="5">
        <v>0</v>
      </c>
    </row>
    <row r="564" spans="1:10" x14ac:dyDescent="0.3">
      <c r="A564" t="s">
        <v>118</v>
      </c>
      <c r="B564" t="str">
        <f t="shared" si="32"/>
        <v>6</v>
      </c>
      <c r="C564" t="str">
        <f t="shared" si="33"/>
        <v>64</v>
      </c>
      <c r="D564" t="str">
        <f t="shared" si="34"/>
        <v>646</v>
      </c>
      <c r="E564" t="str">
        <f t="shared" si="35"/>
        <v>6463</v>
      </c>
      <c r="F564" s="10" t="s">
        <v>1295</v>
      </c>
      <c r="G564" t="s">
        <v>1296</v>
      </c>
      <c r="H564" s="5">
        <v>0</v>
      </c>
      <c r="I564" s="5">
        <v>0</v>
      </c>
      <c r="J564" s="5">
        <v>0</v>
      </c>
    </row>
    <row r="565" spans="1:10" x14ac:dyDescent="0.3">
      <c r="A565" t="s">
        <v>118</v>
      </c>
      <c r="B565" t="str">
        <f t="shared" si="32"/>
        <v>6</v>
      </c>
      <c r="C565" t="str">
        <f t="shared" si="33"/>
        <v>64</v>
      </c>
      <c r="D565" t="str">
        <f t="shared" si="34"/>
        <v>646</v>
      </c>
      <c r="E565" t="str">
        <f t="shared" si="35"/>
        <v>6463</v>
      </c>
      <c r="F565" s="10" t="s">
        <v>1297</v>
      </c>
      <c r="G565" t="s">
        <v>1298</v>
      </c>
      <c r="H565" s="5">
        <v>461500</v>
      </c>
      <c r="I565" s="5">
        <v>184000</v>
      </c>
      <c r="J565" s="5">
        <v>1238000</v>
      </c>
    </row>
    <row r="566" spans="1:10" x14ac:dyDescent="0.3">
      <c r="A566" t="s">
        <v>118</v>
      </c>
      <c r="B566" t="str">
        <f t="shared" si="32"/>
        <v>6</v>
      </c>
      <c r="C566" t="str">
        <f t="shared" si="33"/>
        <v>64</v>
      </c>
      <c r="D566" t="str">
        <f t="shared" si="34"/>
        <v>646</v>
      </c>
      <c r="E566" t="str">
        <f t="shared" si="35"/>
        <v>6463</v>
      </c>
      <c r="F566" s="10" t="s">
        <v>1299</v>
      </c>
      <c r="G566" t="s">
        <v>1300</v>
      </c>
      <c r="H566" s="5">
        <v>36000</v>
      </c>
      <c r="I566" s="5">
        <v>0</v>
      </c>
      <c r="J566" s="5">
        <v>36000</v>
      </c>
    </row>
    <row r="567" spans="1:10" x14ac:dyDescent="0.3">
      <c r="A567" t="s">
        <v>118</v>
      </c>
      <c r="B567" t="str">
        <f t="shared" si="32"/>
        <v>6</v>
      </c>
      <c r="C567" t="str">
        <f t="shared" si="33"/>
        <v>64</v>
      </c>
      <c r="D567" t="str">
        <f t="shared" si="34"/>
        <v>646</v>
      </c>
      <c r="E567" t="str">
        <f t="shared" si="35"/>
        <v>6463</v>
      </c>
      <c r="F567" s="10" t="s">
        <v>1301</v>
      </c>
      <c r="G567" t="s">
        <v>1302</v>
      </c>
      <c r="H567" s="5">
        <v>0</v>
      </c>
      <c r="I567" s="5">
        <v>0</v>
      </c>
      <c r="J567" s="5">
        <v>228000</v>
      </c>
    </row>
    <row r="568" spans="1:10" x14ac:dyDescent="0.3">
      <c r="A568" t="s">
        <v>118</v>
      </c>
      <c r="B568" t="str">
        <f t="shared" si="32"/>
        <v>6</v>
      </c>
      <c r="C568" t="str">
        <f t="shared" si="33"/>
        <v>64</v>
      </c>
      <c r="D568" t="str">
        <f t="shared" si="34"/>
        <v>646</v>
      </c>
      <c r="E568" t="str">
        <f t="shared" si="35"/>
        <v>6464</v>
      </c>
      <c r="F568" s="10" t="s">
        <v>1303</v>
      </c>
      <c r="G568" t="s">
        <v>1304</v>
      </c>
      <c r="H568" s="5">
        <v>0</v>
      </c>
      <c r="I568" s="5">
        <v>0</v>
      </c>
      <c r="J568" s="5">
        <v>0</v>
      </c>
    </row>
    <row r="569" spans="1:10" x14ac:dyDescent="0.3">
      <c r="A569" t="s">
        <v>118</v>
      </c>
      <c r="B569" t="str">
        <f t="shared" si="32"/>
        <v>6</v>
      </c>
      <c r="C569" t="str">
        <f t="shared" si="33"/>
        <v>64</v>
      </c>
      <c r="D569" t="str">
        <f t="shared" si="34"/>
        <v>646</v>
      </c>
      <c r="E569" t="str">
        <f t="shared" si="35"/>
        <v>6464</v>
      </c>
      <c r="F569" s="10" t="s">
        <v>1305</v>
      </c>
      <c r="G569" t="s">
        <v>1306</v>
      </c>
      <c r="H569" s="5">
        <v>282200</v>
      </c>
      <c r="I569" s="5">
        <v>-42250</v>
      </c>
      <c r="J569" s="5">
        <v>164750</v>
      </c>
    </row>
    <row r="570" spans="1:10" x14ac:dyDescent="0.3">
      <c r="A570" t="s">
        <v>118</v>
      </c>
      <c r="B570" t="str">
        <f t="shared" si="32"/>
        <v>6</v>
      </c>
      <c r="C570" t="str">
        <f t="shared" si="33"/>
        <v>64</v>
      </c>
      <c r="D570" t="str">
        <f t="shared" si="34"/>
        <v>646</v>
      </c>
      <c r="E570" t="str">
        <f t="shared" si="35"/>
        <v>6464</v>
      </c>
      <c r="F570" s="10" t="s">
        <v>1307</v>
      </c>
      <c r="G570" t="s">
        <v>1308</v>
      </c>
      <c r="H570" s="5">
        <v>3213500</v>
      </c>
      <c r="I570" s="5">
        <v>2270700</v>
      </c>
      <c r="J570" s="5">
        <v>2005750</v>
      </c>
    </row>
    <row r="571" spans="1:10" x14ac:dyDescent="0.3">
      <c r="A571" t="s">
        <v>118</v>
      </c>
      <c r="B571" t="str">
        <f t="shared" si="32"/>
        <v>6</v>
      </c>
      <c r="C571" t="str">
        <f t="shared" si="33"/>
        <v>64</v>
      </c>
      <c r="D571" t="str">
        <f t="shared" si="34"/>
        <v>646</v>
      </c>
      <c r="E571" t="str">
        <f t="shared" si="35"/>
        <v>6464</v>
      </c>
      <c r="F571" s="10" t="s">
        <v>1309</v>
      </c>
      <c r="G571" t="s">
        <v>1310</v>
      </c>
      <c r="H571" s="5">
        <v>36750</v>
      </c>
      <c r="I571" s="5">
        <v>54000</v>
      </c>
      <c r="J571" s="5">
        <v>54000</v>
      </c>
    </row>
    <row r="572" spans="1:10" x14ac:dyDescent="0.3">
      <c r="A572" t="s">
        <v>118</v>
      </c>
      <c r="B572" t="str">
        <f t="shared" si="32"/>
        <v>6</v>
      </c>
      <c r="C572" t="str">
        <f t="shared" si="33"/>
        <v>64</v>
      </c>
      <c r="D572" t="str">
        <f t="shared" si="34"/>
        <v>646</v>
      </c>
      <c r="E572" t="str">
        <f t="shared" si="35"/>
        <v>6464</v>
      </c>
      <c r="F572" s="10" t="s">
        <v>1311</v>
      </c>
      <c r="G572" t="s">
        <v>1312</v>
      </c>
      <c r="H572" s="5">
        <v>526438</v>
      </c>
      <c r="I572" s="5">
        <v>929700</v>
      </c>
      <c r="J572" s="5">
        <v>633850</v>
      </c>
    </row>
    <row r="573" spans="1:10" x14ac:dyDescent="0.3">
      <c r="A573" t="s">
        <v>118</v>
      </c>
      <c r="B573" t="str">
        <f t="shared" si="32"/>
        <v>6</v>
      </c>
      <c r="C573" t="str">
        <f t="shared" si="33"/>
        <v>64</v>
      </c>
      <c r="D573" t="str">
        <f t="shared" si="34"/>
        <v>646</v>
      </c>
      <c r="E573" t="str">
        <f t="shared" si="35"/>
        <v>6468</v>
      </c>
      <c r="F573" s="10" t="s">
        <v>1313</v>
      </c>
      <c r="G573" t="s">
        <v>1314</v>
      </c>
      <c r="H573" s="5">
        <v>6231559</v>
      </c>
      <c r="I573" s="5">
        <v>1731400</v>
      </c>
      <c r="J573" s="5">
        <v>3905100</v>
      </c>
    </row>
    <row r="574" spans="1:10" x14ac:dyDescent="0.3">
      <c r="A574" t="s">
        <v>118</v>
      </c>
      <c r="B574" t="str">
        <f t="shared" si="32"/>
        <v>6</v>
      </c>
      <c r="C574" t="str">
        <f t="shared" si="33"/>
        <v>64</v>
      </c>
      <c r="D574" t="str">
        <f t="shared" si="34"/>
        <v>646</v>
      </c>
      <c r="E574" t="str">
        <f t="shared" si="35"/>
        <v>6468</v>
      </c>
      <c r="F574" s="10" t="s">
        <v>1315</v>
      </c>
      <c r="G574" t="s">
        <v>1316</v>
      </c>
      <c r="H574" s="5">
        <v>55000</v>
      </c>
      <c r="I574" s="5">
        <v>2500</v>
      </c>
      <c r="J574" s="5">
        <v>0</v>
      </c>
    </row>
    <row r="575" spans="1:10" x14ac:dyDescent="0.3">
      <c r="A575" t="s">
        <v>118</v>
      </c>
      <c r="B575" t="str">
        <f t="shared" si="32"/>
        <v>6</v>
      </c>
      <c r="C575" t="str">
        <f t="shared" si="33"/>
        <v>64</v>
      </c>
      <c r="D575" t="str">
        <f t="shared" si="34"/>
        <v>647</v>
      </c>
      <c r="E575" t="str">
        <f t="shared" si="35"/>
        <v>6478</v>
      </c>
      <c r="F575" s="10" t="s">
        <v>1317</v>
      </c>
      <c r="G575" t="s">
        <v>1318</v>
      </c>
      <c r="H575" s="5">
        <v>109765649</v>
      </c>
      <c r="I575" s="5">
        <v>17438989</v>
      </c>
      <c r="J575" s="5">
        <v>0</v>
      </c>
    </row>
    <row r="576" spans="1:10" x14ac:dyDescent="0.3">
      <c r="A576" t="s">
        <v>118</v>
      </c>
      <c r="B576" t="str">
        <f t="shared" si="32"/>
        <v>6</v>
      </c>
      <c r="C576" t="str">
        <f t="shared" si="33"/>
        <v>64</v>
      </c>
      <c r="D576" t="str">
        <f t="shared" si="34"/>
        <v>648</v>
      </c>
      <c r="E576" t="str">
        <f t="shared" si="35"/>
        <v>6481</v>
      </c>
      <c r="F576" s="10" t="s">
        <v>1319</v>
      </c>
      <c r="G576" t="s">
        <v>1320</v>
      </c>
      <c r="H576" s="5">
        <v>784818</v>
      </c>
      <c r="I576" s="5">
        <v>1130885</v>
      </c>
      <c r="J576" s="5">
        <v>1036303</v>
      </c>
    </row>
    <row r="577" spans="1:10" x14ac:dyDescent="0.3">
      <c r="A577" t="s">
        <v>118</v>
      </c>
      <c r="B577" t="str">
        <f t="shared" si="32"/>
        <v>6</v>
      </c>
      <c r="C577" t="str">
        <f t="shared" si="33"/>
        <v>64</v>
      </c>
      <c r="D577" t="str">
        <f t="shared" si="34"/>
        <v>648</v>
      </c>
      <c r="E577" t="str">
        <f t="shared" si="35"/>
        <v>6481</v>
      </c>
      <c r="F577" s="10" t="s">
        <v>1321</v>
      </c>
      <c r="G577" t="s">
        <v>1322</v>
      </c>
      <c r="H577" s="5">
        <v>607935</v>
      </c>
      <c r="I577" s="5">
        <v>592817</v>
      </c>
      <c r="J577" s="5">
        <v>2157045</v>
      </c>
    </row>
    <row r="578" spans="1:10" x14ac:dyDescent="0.3">
      <c r="A578" t="s">
        <v>118</v>
      </c>
      <c r="B578" t="str">
        <f t="shared" ref="B578:B641" si="36">LEFT($F578,1)</f>
        <v>6</v>
      </c>
      <c r="C578" t="str">
        <f t="shared" ref="C578:C641" si="37">LEFT($F578,2)</f>
        <v>64</v>
      </c>
      <c r="D578" t="str">
        <f t="shared" ref="D578:D641" si="38">LEFT($F578,3)</f>
        <v>648</v>
      </c>
      <c r="E578" t="str">
        <f t="shared" ref="E578:E641" si="39">LEFT($F578,4)</f>
        <v>6481</v>
      </c>
      <c r="F578" s="10" t="s">
        <v>1323</v>
      </c>
      <c r="G578" t="s">
        <v>1324</v>
      </c>
      <c r="H578" s="5">
        <v>9337179</v>
      </c>
      <c r="I578" s="5">
        <v>6828303</v>
      </c>
      <c r="J578" s="5">
        <v>32461529</v>
      </c>
    </row>
    <row r="579" spans="1:10" x14ac:dyDescent="0.3">
      <c r="A579" t="s">
        <v>118</v>
      </c>
      <c r="B579" t="str">
        <f t="shared" si="36"/>
        <v>6</v>
      </c>
      <c r="C579" t="str">
        <f t="shared" si="37"/>
        <v>64</v>
      </c>
      <c r="D579" t="str">
        <f t="shared" si="38"/>
        <v>648</v>
      </c>
      <c r="E579" t="str">
        <f t="shared" si="39"/>
        <v>6482</v>
      </c>
      <c r="F579" s="10" t="s">
        <v>1325</v>
      </c>
      <c r="G579" t="s">
        <v>1326</v>
      </c>
      <c r="H579" s="5">
        <v>1250500</v>
      </c>
      <c r="I579" s="5">
        <v>1250500</v>
      </c>
      <c r="J579" s="5">
        <v>1250500</v>
      </c>
    </row>
    <row r="580" spans="1:10" x14ac:dyDescent="0.3">
      <c r="A580" t="s">
        <v>120</v>
      </c>
      <c r="B580" t="str">
        <f t="shared" si="36"/>
        <v>6</v>
      </c>
      <c r="C580" t="str">
        <f t="shared" si="37"/>
        <v>65</v>
      </c>
      <c r="D580" t="str">
        <f t="shared" si="38"/>
        <v>658</v>
      </c>
      <c r="E580" t="str">
        <f t="shared" si="39"/>
        <v>6582</v>
      </c>
      <c r="F580" s="10" t="s">
        <v>1327</v>
      </c>
      <c r="G580" t="s">
        <v>1328</v>
      </c>
      <c r="H580" s="5">
        <v>10022411</v>
      </c>
      <c r="I580" s="5">
        <v>7084550</v>
      </c>
      <c r="J580" s="5">
        <v>9386570</v>
      </c>
    </row>
    <row r="581" spans="1:10" x14ac:dyDescent="0.3">
      <c r="A581" t="s">
        <v>120</v>
      </c>
      <c r="B581" t="str">
        <f t="shared" si="36"/>
        <v>6</v>
      </c>
      <c r="C581" t="str">
        <f t="shared" si="37"/>
        <v>65</v>
      </c>
      <c r="D581" t="str">
        <f t="shared" si="38"/>
        <v>658</v>
      </c>
      <c r="E581" t="str">
        <f t="shared" si="39"/>
        <v>6588</v>
      </c>
      <c r="F581" s="10" t="s">
        <v>1329</v>
      </c>
      <c r="G581" t="s">
        <v>1330</v>
      </c>
      <c r="H581" s="5">
        <v>15868484</v>
      </c>
      <c r="I581" s="5">
        <v>0</v>
      </c>
      <c r="J581" s="5">
        <v>12049144</v>
      </c>
    </row>
    <row r="582" spans="1:10" x14ac:dyDescent="0.3">
      <c r="A582" t="s">
        <v>120</v>
      </c>
      <c r="B582" t="str">
        <f t="shared" si="36"/>
        <v>6</v>
      </c>
      <c r="C582" t="str">
        <f t="shared" si="37"/>
        <v>65</v>
      </c>
      <c r="D582" t="str">
        <f t="shared" si="38"/>
        <v>659</v>
      </c>
      <c r="E582" t="str">
        <f t="shared" si="39"/>
        <v>6591</v>
      </c>
      <c r="F582" s="10" t="s">
        <v>1331</v>
      </c>
      <c r="G582" t="s">
        <v>1332</v>
      </c>
      <c r="H582" s="5">
        <v>0</v>
      </c>
      <c r="I582" s="5">
        <v>0</v>
      </c>
      <c r="J582" s="5">
        <v>0</v>
      </c>
    </row>
    <row r="583" spans="1:10" x14ac:dyDescent="0.3">
      <c r="A583" t="s">
        <v>120</v>
      </c>
      <c r="B583" t="str">
        <f t="shared" si="36"/>
        <v>6</v>
      </c>
      <c r="C583" t="str">
        <f t="shared" si="37"/>
        <v>65</v>
      </c>
      <c r="D583" t="str">
        <f t="shared" si="38"/>
        <v>659</v>
      </c>
      <c r="E583" t="str">
        <f t="shared" si="39"/>
        <v>6594</v>
      </c>
      <c r="F583" s="10" t="s">
        <v>1333</v>
      </c>
      <c r="G583" t="s">
        <v>1334</v>
      </c>
      <c r="H583" s="5">
        <v>0</v>
      </c>
      <c r="I583" s="5">
        <v>135614987</v>
      </c>
      <c r="J583" s="5">
        <v>0</v>
      </c>
    </row>
    <row r="584" spans="1:10" x14ac:dyDescent="0.3">
      <c r="A584" t="s">
        <v>120</v>
      </c>
      <c r="B584" t="str">
        <f t="shared" si="36"/>
        <v>6</v>
      </c>
      <c r="C584" t="str">
        <f t="shared" si="37"/>
        <v>65</v>
      </c>
      <c r="D584" t="str">
        <f t="shared" si="38"/>
        <v>659</v>
      </c>
      <c r="E584" t="str">
        <f t="shared" si="39"/>
        <v>6598</v>
      </c>
      <c r="F584" s="10" t="s">
        <v>1335</v>
      </c>
      <c r="G584" t="s">
        <v>1336</v>
      </c>
      <c r="H584" s="5">
        <v>0</v>
      </c>
      <c r="I584" s="5">
        <v>0</v>
      </c>
      <c r="J584" s="5">
        <v>0</v>
      </c>
    </row>
    <row r="585" spans="1:10" x14ac:dyDescent="0.3">
      <c r="A585" t="s">
        <v>122</v>
      </c>
      <c r="B585" t="str">
        <f t="shared" si="36"/>
        <v>6</v>
      </c>
      <c r="C585" t="str">
        <f t="shared" si="37"/>
        <v>66</v>
      </c>
      <c r="D585" t="str">
        <f t="shared" si="38"/>
        <v>661</v>
      </c>
      <c r="E585" t="str">
        <f t="shared" si="39"/>
        <v>6611</v>
      </c>
      <c r="F585" s="10" t="s">
        <v>1337</v>
      </c>
      <c r="G585" t="s">
        <v>1338</v>
      </c>
      <c r="H585" s="5">
        <v>341988906</v>
      </c>
      <c r="I585" s="5">
        <v>277250460</v>
      </c>
      <c r="J585" s="5">
        <v>344827795</v>
      </c>
    </row>
    <row r="586" spans="1:10" x14ac:dyDescent="0.3">
      <c r="A586" t="s">
        <v>122</v>
      </c>
      <c r="B586" t="str">
        <f t="shared" si="36"/>
        <v>6</v>
      </c>
      <c r="C586" t="str">
        <f t="shared" si="37"/>
        <v>66</v>
      </c>
      <c r="D586" t="str">
        <f t="shared" si="38"/>
        <v>661</v>
      </c>
      <c r="E586" t="str">
        <f t="shared" si="39"/>
        <v>6611</v>
      </c>
      <c r="F586" s="10" t="s">
        <v>1339</v>
      </c>
      <c r="G586" t="s">
        <v>1340</v>
      </c>
      <c r="H586" s="5">
        <v>209049704</v>
      </c>
      <c r="I586" s="5">
        <v>232971652</v>
      </c>
      <c r="J586" s="5">
        <v>247082041</v>
      </c>
    </row>
    <row r="587" spans="1:10" x14ac:dyDescent="0.3">
      <c r="A587" t="s">
        <v>122</v>
      </c>
      <c r="B587" t="str">
        <f t="shared" si="36"/>
        <v>6</v>
      </c>
      <c r="C587" t="str">
        <f t="shared" si="37"/>
        <v>66</v>
      </c>
      <c r="D587" t="str">
        <f t="shared" si="38"/>
        <v>661</v>
      </c>
      <c r="E587" t="str">
        <f t="shared" si="39"/>
        <v>6611</v>
      </c>
      <c r="F587" s="10" t="s">
        <v>1341</v>
      </c>
      <c r="G587" t="s">
        <v>1342</v>
      </c>
      <c r="H587" s="5">
        <v>74437837</v>
      </c>
      <c r="I587" s="5">
        <v>70716221</v>
      </c>
      <c r="J587" s="5">
        <v>52460493</v>
      </c>
    </row>
    <row r="588" spans="1:10" x14ac:dyDescent="0.3">
      <c r="A588" t="s">
        <v>122</v>
      </c>
      <c r="B588" t="str">
        <f t="shared" si="36"/>
        <v>6</v>
      </c>
      <c r="C588" t="str">
        <f t="shared" si="37"/>
        <v>66</v>
      </c>
      <c r="D588" t="str">
        <f t="shared" si="38"/>
        <v>661</v>
      </c>
      <c r="E588" t="str">
        <f t="shared" si="39"/>
        <v>6611</v>
      </c>
      <c r="F588" s="10" t="s">
        <v>1343</v>
      </c>
      <c r="G588" t="s">
        <v>1344</v>
      </c>
      <c r="H588" s="5">
        <v>183623306</v>
      </c>
      <c r="I588" s="5">
        <v>171131259</v>
      </c>
      <c r="J588" s="5">
        <v>196409175</v>
      </c>
    </row>
    <row r="589" spans="1:10" x14ac:dyDescent="0.3">
      <c r="A589" t="s">
        <v>122</v>
      </c>
      <c r="B589" t="str">
        <f t="shared" si="36"/>
        <v>6</v>
      </c>
      <c r="C589" t="str">
        <f t="shared" si="37"/>
        <v>66</v>
      </c>
      <c r="D589" t="str">
        <f t="shared" si="38"/>
        <v>661</v>
      </c>
      <c r="E589" t="str">
        <f t="shared" si="39"/>
        <v>6612</v>
      </c>
      <c r="F589" s="10" t="s">
        <v>1345</v>
      </c>
      <c r="G589" t="s">
        <v>1346</v>
      </c>
      <c r="H589" s="5">
        <v>4485000</v>
      </c>
      <c r="I589" s="5">
        <v>3710000</v>
      </c>
      <c r="J589" s="5">
        <v>3895000</v>
      </c>
    </row>
    <row r="590" spans="1:10" x14ac:dyDescent="0.3">
      <c r="A590" t="s">
        <v>122</v>
      </c>
      <c r="B590" t="str">
        <f t="shared" si="36"/>
        <v>6</v>
      </c>
      <c r="C590" t="str">
        <f t="shared" si="37"/>
        <v>66</v>
      </c>
      <c r="D590" t="str">
        <f t="shared" si="38"/>
        <v>661</v>
      </c>
      <c r="E590" t="str">
        <f t="shared" si="39"/>
        <v>6612</v>
      </c>
      <c r="F590" s="10" t="s">
        <v>1347</v>
      </c>
      <c r="G590" t="s">
        <v>1348</v>
      </c>
      <c r="H590" s="5">
        <v>7360352</v>
      </c>
      <c r="I590" s="5">
        <v>8189422</v>
      </c>
      <c r="J590" s="5">
        <v>7645353</v>
      </c>
    </row>
    <row r="591" spans="1:10" x14ac:dyDescent="0.3">
      <c r="A591" t="s">
        <v>122</v>
      </c>
      <c r="B591" t="str">
        <f t="shared" si="36"/>
        <v>6</v>
      </c>
      <c r="C591" t="str">
        <f t="shared" si="37"/>
        <v>66</v>
      </c>
      <c r="D591" t="str">
        <f t="shared" si="38"/>
        <v>661</v>
      </c>
      <c r="E591" t="str">
        <f t="shared" si="39"/>
        <v>6612</v>
      </c>
      <c r="F591" s="10" t="s">
        <v>1349</v>
      </c>
      <c r="G591" t="s">
        <v>1350</v>
      </c>
      <c r="H591" s="5">
        <v>1430000</v>
      </c>
      <c r="I591" s="5">
        <v>2330066</v>
      </c>
      <c r="J591" s="5">
        <v>440000</v>
      </c>
    </row>
    <row r="592" spans="1:10" x14ac:dyDescent="0.3">
      <c r="A592" t="s">
        <v>122</v>
      </c>
      <c r="B592" t="str">
        <f t="shared" si="36"/>
        <v>6</v>
      </c>
      <c r="C592" t="str">
        <f t="shared" si="37"/>
        <v>66</v>
      </c>
      <c r="D592" t="str">
        <f t="shared" si="38"/>
        <v>661</v>
      </c>
      <c r="E592" t="str">
        <f t="shared" si="39"/>
        <v>6612</v>
      </c>
      <c r="F592" s="10" t="s">
        <v>1351</v>
      </c>
      <c r="G592" t="s">
        <v>1352</v>
      </c>
      <c r="H592" s="5">
        <v>2830586</v>
      </c>
      <c r="I592" s="5">
        <v>3055586</v>
      </c>
      <c r="J592" s="5">
        <v>1813217</v>
      </c>
    </row>
    <row r="593" spans="1:10" x14ac:dyDescent="0.3">
      <c r="A593" t="s">
        <v>122</v>
      </c>
      <c r="B593" t="str">
        <f t="shared" si="36"/>
        <v>6</v>
      </c>
      <c r="C593" t="str">
        <f t="shared" si="37"/>
        <v>66</v>
      </c>
      <c r="D593" t="str">
        <f t="shared" si="38"/>
        <v>661</v>
      </c>
      <c r="E593" t="str">
        <f t="shared" si="39"/>
        <v>6612</v>
      </c>
      <c r="F593" s="10" t="s">
        <v>1353</v>
      </c>
      <c r="G593" t="s">
        <v>1354</v>
      </c>
      <c r="H593" s="5">
        <v>22488125</v>
      </c>
      <c r="I593" s="5">
        <v>21457568</v>
      </c>
      <c r="J593" s="5">
        <v>15938230</v>
      </c>
    </row>
    <row r="594" spans="1:10" x14ac:dyDescent="0.3">
      <c r="A594" t="s">
        <v>122</v>
      </c>
      <c r="B594" t="str">
        <f t="shared" si="36"/>
        <v>6</v>
      </c>
      <c r="C594" t="str">
        <f t="shared" si="37"/>
        <v>66</v>
      </c>
      <c r="D594" t="str">
        <f t="shared" si="38"/>
        <v>661</v>
      </c>
      <c r="E594" t="str">
        <f t="shared" si="39"/>
        <v>6612</v>
      </c>
      <c r="F594" s="10" t="s">
        <v>1355</v>
      </c>
      <c r="G594" t="s">
        <v>1356</v>
      </c>
      <c r="H594" s="5">
        <v>23268737</v>
      </c>
      <c r="I594" s="5">
        <v>19722727</v>
      </c>
      <c r="J594" s="5">
        <v>15892641</v>
      </c>
    </row>
    <row r="595" spans="1:10" x14ac:dyDescent="0.3">
      <c r="A595" t="s">
        <v>122</v>
      </c>
      <c r="B595" t="str">
        <f t="shared" si="36"/>
        <v>6</v>
      </c>
      <c r="C595" t="str">
        <f t="shared" si="37"/>
        <v>66</v>
      </c>
      <c r="D595" t="str">
        <f t="shared" si="38"/>
        <v>661</v>
      </c>
      <c r="E595" t="str">
        <f t="shared" si="39"/>
        <v>6612</v>
      </c>
      <c r="F595" s="10" t="s">
        <v>1357</v>
      </c>
      <c r="G595" t="s">
        <v>1358</v>
      </c>
      <c r="H595" s="5">
        <v>5351752</v>
      </c>
      <c r="I595" s="5">
        <v>5254424</v>
      </c>
      <c r="J595" s="5">
        <v>3503833</v>
      </c>
    </row>
    <row r="596" spans="1:10" x14ac:dyDescent="0.3">
      <c r="A596" t="s">
        <v>122</v>
      </c>
      <c r="B596" t="str">
        <f t="shared" si="36"/>
        <v>6</v>
      </c>
      <c r="C596" t="str">
        <f t="shared" si="37"/>
        <v>66</v>
      </c>
      <c r="D596" t="str">
        <f t="shared" si="38"/>
        <v>661</v>
      </c>
      <c r="E596" t="str">
        <f t="shared" si="39"/>
        <v>6612</v>
      </c>
      <c r="F596" s="10" t="s">
        <v>1359</v>
      </c>
      <c r="G596" t="s">
        <v>1360</v>
      </c>
      <c r="H596" s="5">
        <v>13845824</v>
      </c>
      <c r="I596" s="5">
        <v>13150862</v>
      </c>
      <c r="J596" s="5">
        <v>10580755</v>
      </c>
    </row>
    <row r="597" spans="1:10" x14ac:dyDescent="0.3">
      <c r="A597" t="s">
        <v>122</v>
      </c>
      <c r="B597" t="str">
        <f t="shared" si="36"/>
        <v>6</v>
      </c>
      <c r="C597" t="str">
        <f t="shared" si="37"/>
        <v>66</v>
      </c>
      <c r="D597" t="str">
        <f t="shared" si="38"/>
        <v>661</v>
      </c>
      <c r="E597" t="str">
        <f t="shared" si="39"/>
        <v>6612</v>
      </c>
      <c r="F597" s="10" t="s">
        <v>1361</v>
      </c>
      <c r="G597" t="s">
        <v>1362</v>
      </c>
      <c r="H597" s="5">
        <v>46141089</v>
      </c>
      <c r="I597" s="5">
        <v>38183715</v>
      </c>
      <c r="J597" s="5">
        <v>39022237</v>
      </c>
    </row>
    <row r="598" spans="1:10" x14ac:dyDescent="0.3">
      <c r="A598" t="s">
        <v>122</v>
      </c>
      <c r="B598" t="str">
        <f t="shared" si="36"/>
        <v>6</v>
      </c>
      <c r="C598" t="str">
        <f t="shared" si="37"/>
        <v>66</v>
      </c>
      <c r="D598" t="str">
        <f t="shared" si="38"/>
        <v>661</v>
      </c>
      <c r="E598" t="str">
        <f t="shared" si="39"/>
        <v>6612</v>
      </c>
      <c r="F598" s="10" t="s">
        <v>1363</v>
      </c>
      <c r="G598" t="s">
        <v>1364</v>
      </c>
      <c r="H598" s="5">
        <v>17042864</v>
      </c>
      <c r="I598" s="5">
        <v>22198801</v>
      </c>
      <c r="J598" s="5">
        <v>21779800</v>
      </c>
    </row>
    <row r="599" spans="1:10" x14ac:dyDescent="0.3">
      <c r="A599" t="s">
        <v>122</v>
      </c>
      <c r="B599" t="str">
        <f t="shared" si="36"/>
        <v>6</v>
      </c>
      <c r="C599" t="str">
        <f t="shared" si="37"/>
        <v>66</v>
      </c>
      <c r="D599" t="str">
        <f t="shared" si="38"/>
        <v>661</v>
      </c>
      <c r="E599" t="str">
        <f t="shared" si="39"/>
        <v>6612</v>
      </c>
      <c r="F599" s="10" t="s">
        <v>1365</v>
      </c>
      <c r="G599" t="s">
        <v>1366</v>
      </c>
      <c r="H599" s="5">
        <v>10616658</v>
      </c>
      <c r="I599" s="5">
        <v>10933119</v>
      </c>
      <c r="J599" s="5">
        <v>8799316</v>
      </c>
    </row>
    <row r="600" spans="1:10" x14ac:dyDescent="0.3">
      <c r="A600" t="s">
        <v>122</v>
      </c>
      <c r="B600" t="str">
        <f t="shared" si="36"/>
        <v>6</v>
      </c>
      <c r="C600" t="str">
        <f t="shared" si="37"/>
        <v>66</v>
      </c>
      <c r="D600" t="str">
        <f t="shared" si="38"/>
        <v>661</v>
      </c>
      <c r="E600" t="str">
        <f t="shared" si="39"/>
        <v>6612</v>
      </c>
      <c r="F600" s="10" t="s">
        <v>1367</v>
      </c>
      <c r="G600" t="s">
        <v>1368</v>
      </c>
      <c r="H600" s="5">
        <v>22578540</v>
      </c>
      <c r="I600" s="5">
        <v>21677868</v>
      </c>
      <c r="J600" s="5">
        <v>23145536</v>
      </c>
    </row>
    <row r="601" spans="1:10" x14ac:dyDescent="0.3">
      <c r="A601" t="s">
        <v>122</v>
      </c>
      <c r="B601" t="str">
        <f t="shared" si="36"/>
        <v>6</v>
      </c>
      <c r="C601" t="str">
        <f t="shared" si="37"/>
        <v>66</v>
      </c>
      <c r="D601" t="str">
        <f t="shared" si="38"/>
        <v>661</v>
      </c>
      <c r="E601" t="str">
        <f t="shared" si="39"/>
        <v>6613</v>
      </c>
      <c r="F601" s="10" t="s">
        <v>1369</v>
      </c>
      <c r="G601" t="s">
        <v>1370</v>
      </c>
      <c r="H601" s="5">
        <v>35321137</v>
      </c>
      <c r="I601" s="5">
        <v>36339990</v>
      </c>
      <c r="J601" s="5">
        <v>36845775</v>
      </c>
    </row>
    <row r="602" spans="1:10" x14ac:dyDescent="0.3">
      <c r="A602" t="s">
        <v>122</v>
      </c>
      <c r="B602" t="str">
        <f t="shared" si="36"/>
        <v>6</v>
      </c>
      <c r="C602" t="str">
        <f t="shared" si="37"/>
        <v>66</v>
      </c>
      <c r="D602" t="str">
        <f t="shared" si="38"/>
        <v>661</v>
      </c>
      <c r="E602" t="str">
        <f t="shared" si="39"/>
        <v>6613</v>
      </c>
      <c r="F602" s="10" t="s">
        <v>1371</v>
      </c>
      <c r="G602" t="s">
        <v>1372</v>
      </c>
      <c r="H602" s="5">
        <v>16616897</v>
      </c>
      <c r="I602" s="5">
        <v>31470125</v>
      </c>
      <c r="J602" s="5">
        <v>31074217</v>
      </c>
    </row>
    <row r="603" spans="1:10" x14ac:dyDescent="0.3">
      <c r="A603" t="s">
        <v>122</v>
      </c>
      <c r="B603" t="str">
        <f t="shared" si="36"/>
        <v>6</v>
      </c>
      <c r="C603" t="str">
        <f t="shared" si="37"/>
        <v>66</v>
      </c>
      <c r="D603" t="str">
        <f t="shared" si="38"/>
        <v>661</v>
      </c>
      <c r="E603" t="str">
        <f t="shared" si="39"/>
        <v>6613</v>
      </c>
      <c r="F603" s="10" t="s">
        <v>1373</v>
      </c>
      <c r="G603" t="s">
        <v>1374</v>
      </c>
      <c r="H603" s="5">
        <v>5844998</v>
      </c>
      <c r="I603" s="5">
        <v>8107226</v>
      </c>
      <c r="J603" s="5">
        <v>5877790</v>
      </c>
    </row>
    <row r="604" spans="1:10" x14ac:dyDescent="0.3">
      <c r="A604" t="s">
        <v>122</v>
      </c>
      <c r="B604" t="str">
        <f t="shared" si="36"/>
        <v>6</v>
      </c>
      <c r="C604" t="str">
        <f t="shared" si="37"/>
        <v>66</v>
      </c>
      <c r="D604" t="str">
        <f t="shared" si="38"/>
        <v>661</v>
      </c>
      <c r="E604" t="str">
        <f t="shared" si="39"/>
        <v>6613</v>
      </c>
      <c r="F604" s="10" t="s">
        <v>1375</v>
      </c>
      <c r="G604" t="s">
        <v>1376</v>
      </c>
      <c r="H604" s="5">
        <v>20702628</v>
      </c>
      <c r="I604" s="5">
        <v>20885822</v>
      </c>
      <c r="J604" s="5">
        <v>18863842</v>
      </c>
    </row>
    <row r="605" spans="1:10" x14ac:dyDescent="0.3">
      <c r="A605" t="s">
        <v>122</v>
      </c>
      <c r="B605" t="str">
        <f t="shared" si="36"/>
        <v>6</v>
      </c>
      <c r="C605" t="str">
        <f t="shared" si="37"/>
        <v>66</v>
      </c>
      <c r="D605" t="str">
        <f t="shared" si="38"/>
        <v>661</v>
      </c>
      <c r="E605" t="str">
        <f t="shared" si="39"/>
        <v>6614</v>
      </c>
      <c r="F605" s="10" t="s">
        <v>1377</v>
      </c>
      <c r="G605" t="s">
        <v>1378</v>
      </c>
      <c r="H605" s="5">
        <v>2275236</v>
      </c>
      <c r="I605" s="5">
        <v>7205241</v>
      </c>
      <c r="J605" s="5">
        <v>726701</v>
      </c>
    </row>
    <row r="606" spans="1:10" x14ac:dyDescent="0.3">
      <c r="A606" t="s">
        <v>122</v>
      </c>
      <c r="B606" t="str">
        <f t="shared" si="36"/>
        <v>6</v>
      </c>
      <c r="C606" t="str">
        <f t="shared" si="37"/>
        <v>66</v>
      </c>
      <c r="D606" t="str">
        <f t="shared" si="38"/>
        <v>661</v>
      </c>
      <c r="E606" t="str">
        <f t="shared" si="39"/>
        <v>6614</v>
      </c>
      <c r="F606" s="10" t="s">
        <v>1379</v>
      </c>
      <c r="G606" t="s">
        <v>1380</v>
      </c>
      <c r="H606" s="5">
        <v>-37611</v>
      </c>
      <c r="I606" s="5">
        <v>6798825</v>
      </c>
      <c r="J606" s="5">
        <v>25261571</v>
      </c>
    </row>
    <row r="607" spans="1:10" x14ac:dyDescent="0.3">
      <c r="A607" t="s">
        <v>122</v>
      </c>
      <c r="B607" t="str">
        <f t="shared" si="36"/>
        <v>6</v>
      </c>
      <c r="C607" t="str">
        <f t="shared" si="37"/>
        <v>66</v>
      </c>
      <c r="D607" t="str">
        <f t="shared" si="38"/>
        <v>661</v>
      </c>
      <c r="E607" t="str">
        <f t="shared" si="39"/>
        <v>6614</v>
      </c>
      <c r="F607" s="10" t="s">
        <v>1381</v>
      </c>
      <c r="G607" t="s">
        <v>1382</v>
      </c>
      <c r="H607" s="5">
        <v>1080226</v>
      </c>
      <c r="I607" s="5">
        <v>15045003</v>
      </c>
      <c r="J607" s="5">
        <v>234540</v>
      </c>
    </row>
    <row r="608" spans="1:10" x14ac:dyDescent="0.3">
      <c r="A608" t="s">
        <v>122</v>
      </c>
      <c r="B608" t="str">
        <f t="shared" si="36"/>
        <v>6</v>
      </c>
      <c r="C608" t="str">
        <f t="shared" si="37"/>
        <v>66</v>
      </c>
      <c r="D608" t="str">
        <f t="shared" si="38"/>
        <v>661</v>
      </c>
      <c r="E608" t="str">
        <f t="shared" si="39"/>
        <v>6614</v>
      </c>
      <c r="F608" s="10" t="s">
        <v>1383</v>
      </c>
      <c r="G608" t="s">
        <v>1384</v>
      </c>
      <c r="H608" s="5">
        <v>7534990</v>
      </c>
      <c r="I608" s="5">
        <v>3556851</v>
      </c>
      <c r="J608" s="5">
        <v>1371502</v>
      </c>
    </row>
    <row r="609" spans="1:10" x14ac:dyDescent="0.3">
      <c r="A609" t="s">
        <v>122</v>
      </c>
      <c r="B609" t="str">
        <f t="shared" si="36"/>
        <v>6</v>
      </c>
      <c r="C609" t="str">
        <f t="shared" si="37"/>
        <v>66</v>
      </c>
      <c r="D609" t="str">
        <f t="shared" si="38"/>
        <v>661</v>
      </c>
      <c r="E609" t="str">
        <f t="shared" si="39"/>
        <v>6619</v>
      </c>
      <c r="F609" s="10" t="s">
        <v>1385</v>
      </c>
      <c r="G609" t="s">
        <v>1386</v>
      </c>
      <c r="H609" s="5">
        <v>0</v>
      </c>
      <c r="I609" s="5">
        <v>0</v>
      </c>
      <c r="J609" s="5">
        <v>571</v>
      </c>
    </row>
    <row r="610" spans="1:10" x14ac:dyDescent="0.3">
      <c r="A610" t="s">
        <v>122</v>
      </c>
      <c r="B610" t="str">
        <f t="shared" si="36"/>
        <v>6</v>
      </c>
      <c r="C610" t="str">
        <f t="shared" si="37"/>
        <v>66</v>
      </c>
      <c r="D610" t="str">
        <f t="shared" si="38"/>
        <v>663</v>
      </c>
      <c r="E610" t="str">
        <f t="shared" si="39"/>
        <v>6632</v>
      </c>
      <c r="F610" s="10" t="s">
        <v>1387</v>
      </c>
      <c r="G610" t="s">
        <v>1388</v>
      </c>
      <c r="H610" s="5">
        <v>3650000</v>
      </c>
      <c r="I610" s="5">
        <v>4444000</v>
      </c>
      <c r="J610" s="5">
        <v>5502080</v>
      </c>
    </row>
    <row r="611" spans="1:10" x14ac:dyDescent="0.3">
      <c r="A611" t="s">
        <v>122</v>
      </c>
      <c r="B611" t="str">
        <f t="shared" si="36"/>
        <v>6</v>
      </c>
      <c r="C611" t="str">
        <f t="shared" si="37"/>
        <v>66</v>
      </c>
      <c r="D611" t="str">
        <f t="shared" si="38"/>
        <v>663</v>
      </c>
      <c r="E611" t="str">
        <f t="shared" si="39"/>
        <v>6632</v>
      </c>
      <c r="F611" s="10" t="s">
        <v>1389</v>
      </c>
      <c r="G611" t="s">
        <v>1390</v>
      </c>
      <c r="H611" s="5">
        <v>1800000</v>
      </c>
      <c r="I611" s="5">
        <v>1650000</v>
      </c>
      <c r="J611" s="5">
        <v>1650000</v>
      </c>
    </row>
    <row r="612" spans="1:10" x14ac:dyDescent="0.3">
      <c r="A612" t="s">
        <v>122</v>
      </c>
      <c r="B612" t="str">
        <f t="shared" si="36"/>
        <v>6</v>
      </c>
      <c r="C612" t="str">
        <f t="shared" si="37"/>
        <v>66</v>
      </c>
      <c r="D612" t="str">
        <f t="shared" si="38"/>
        <v>663</v>
      </c>
      <c r="E612" t="str">
        <f t="shared" si="39"/>
        <v>6632</v>
      </c>
      <c r="F612" s="10" t="s">
        <v>1391</v>
      </c>
      <c r="G612" t="s">
        <v>1392</v>
      </c>
      <c r="H612" s="5">
        <v>1208397</v>
      </c>
      <c r="I612" s="5">
        <v>413100</v>
      </c>
      <c r="J612" s="5">
        <v>0</v>
      </c>
    </row>
    <row r="613" spans="1:10" x14ac:dyDescent="0.3">
      <c r="A613" t="s">
        <v>122</v>
      </c>
      <c r="B613" t="str">
        <f t="shared" si="36"/>
        <v>6</v>
      </c>
      <c r="C613" t="str">
        <f t="shared" si="37"/>
        <v>66</v>
      </c>
      <c r="D613" t="str">
        <f t="shared" si="38"/>
        <v>663</v>
      </c>
      <c r="E613" t="str">
        <f t="shared" si="39"/>
        <v>6632</v>
      </c>
      <c r="F613" s="10" t="s">
        <v>1393</v>
      </c>
      <c r="G613" t="s">
        <v>1394</v>
      </c>
      <c r="H613" s="5">
        <v>2897303</v>
      </c>
      <c r="I613" s="5">
        <v>3162254</v>
      </c>
      <c r="J613" s="5">
        <v>4012975</v>
      </c>
    </row>
    <row r="614" spans="1:10" x14ac:dyDescent="0.3">
      <c r="A614" t="s">
        <v>122</v>
      </c>
      <c r="B614" t="str">
        <f t="shared" si="36"/>
        <v>6</v>
      </c>
      <c r="C614" t="str">
        <f t="shared" si="37"/>
        <v>66</v>
      </c>
      <c r="D614" t="str">
        <f t="shared" si="38"/>
        <v>663</v>
      </c>
      <c r="E614" t="str">
        <f t="shared" si="39"/>
        <v>6638</v>
      </c>
      <c r="F614" s="10" t="s">
        <v>1395</v>
      </c>
      <c r="G614" t="s">
        <v>1396</v>
      </c>
      <c r="H614" s="5">
        <v>71250000</v>
      </c>
      <c r="I614" s="5">
        <v>61550000</v>
      </c>
      <c r="J614" s="5">
        <v>62010000</v>
      </c>
    </row>
    <row r="615" spans="1:10" x14ac:dyDescent="0.3">
      <c r="A615" t="s">
        <v>122</v>
      </c>
      <c r="B615" t="str">
        <f t="shared" si="36"/>
        <v>6</v>
      </c>
      <c r="C615" t="str">
        <f t="shared" si="37"/>
        <v>66</v>
      </c>
      <c r="D615" t="str">
        <f t="shared" si="38"/>
        <v>663</v>
      </c>
      <c r="E615" t="str">
        <f t="shared" si="39"/>
        <v>6638</v>
      </c>
      <c r="F615" s="10" t="s">
        <v>1397</v>
      </c>
      <c r="G615" t="s">
        <v>1398</v>
      </c>
      <c r="H615" s="5">
        <v>38610000</v>
      </c>
      <c r="I615" s="5">
        <v>47490000</v>
      </c>
      <c r="J615" s="5">
        <v>47590000</v>
      </c>
    </row>
    <row r="616" spans="1:10" x14ac:dyDescent="0.3">
      <c r="A616" t="s">
        <v>122</v>
      </c>
      <c r="B616" t="str">
        <f t="shared" si="36"/>
        <v>6</v>
      </c>
      <c r="C616" t="str">
        <f t="shared" si="37"/>
        <v>66</v>
      </c>
      <c r="D616" t="str">
        <f t="shared" si="38"/>
        <v>663</v>
      </c>
      <c r="E616" t="str">
        <f t="shared" si="39"/>
        <v>6638</v>
      </c>
      <c r="F616" s="10" t="s">
        <v>1399</v>
      </c>
      <c r="G616" t="s">
        <v>1400</v>
      </c>
      <c r="H616" s="5">
        <v>12470000</v>
      </c>
      <c r="I616" s="5">
        <v>12260000</v>
      </c>
      <c r="J616" s="5">
        <v>9870000</v>
      </c>
    </row>
    <row r="617" spans="1:10" x14ac:dyDescent="0.3">
      <c r="A617" t="s">
        <v>122</v>
      </c>
      <c r="B617" t="str">
        <f t="shared" si="36"/>
        <v>6</v>
      </c>
      <c r="C617" t="str">
        <f t="shared" si="37"/>
        <v>66</v>
      </c>
      <c r="D617" t="str">
        <f t="shared" si="38"/>
        <v>663</v>
      </c>
      <c r="E617" t="str">
        <f t="shared" si="39"/>
        <v>6638</v>
      </c>
      <c r="F617" s="10" t="s">
        <v>1401</v>
      </c>
      <c r="G617" t="s">
        <v>1402</v>
      </c>
      <c r="H617" s="5">
        <v>33580000</v>
      </c>
      <c r="I617" s="5">
        <v>32460000</v>
      </c>
      <c r="J617" s="5">
        <v>35390000</v>
      </c>
    </row>
    <row r="618" spans="1:10" x14ac:dyDescent="0.3">
      <c r="A618" t="s">
        <v>122</v>
      </c>
      <c r="B618" t="str">
        <f t="shared" si="36"/>
        <v>6</v>
      </c>
      <c r="C618" t="str">
        <f t="shared" si="37"/>
        <v>66</v>
      </c>
      <c r="D618" t="str">
        <f t="shared" si="38"/>
        <v>663</v>
      </c>
      <c r="E618" t="str">
        <f t="shared" si="39"/>
        <v>6638</v>
      </c>
      <c r="F618" s="10" t="s">
        <v>1403</v>
      </c>
      <c r="G618" t="s">
        <v>1404</v>
      </c>
      <c r="H618" s="5">
        <v>0</v>
      </c>
      <c r="I618" s="5">
        <v>15528055</v>
      </c>
      <c r="J618" s="5">
        <v>0</v>
      </c>
    </row>
    <row r="619" spans="1:10" x14ac:dyDescent="0.3">
      <c r="A619" t="s">
        <v>122</v>
      </c>
      <c r="B619" t="str">
        <f t="shared" si="36"/>
        <v>6</v>
      </c>
      <c r="C619" t="str">
        <f t="shared" si="37"/>
        <v>66</v>
      </c>
      <c r="D619" t="str">
        <f t="shared" si="38"/>
        <v>663</v>
      </c>
      <c r="E619" t="str">
        <f t="shared" si="39"/>
        <v>6638</v>
      </c>
      <c r="F619" s="10" t="s">
        <v>1405</v>
      </c>
      <c r="G619" t="s">
        <v>1406</v>
      </c>
      <c r="H619" s="5">
        <v>0</v>
      </c>
      <c r="I619" s="5">
        <v>12895210</v>
      </c>
      <c r="J619" s="5">
        <v>0</v>
      </c>
    </row>
    <row r="620" spans="1:10" x14ac:dyDescent="0.3">
      <c r="A620" t="s">
        <v>122</v>
      </c>
      <c r="B620" t="str">
        <f t="shared" si="36"/>
        <v>6</v>
      </c>
      <c r="C620" t="str">
        <f t="shared" si="37"/>
        <v>66</v>
      </c>
      <c r="D620" t="str">
        <f t="shared" si="38"/>
        <v>663</v>
      </c>
      <c r="E620" t="str">
        <f t="shared" si="39"/>
        <v>6638</v>
      </c>
      <c r="F620" s="10" t="s">
        <v>1407</v>
      </c>
      <c r="G620" t="s">
        <v>1408</v>
      </c>
      <c r="H620" s="5">
        <v>0</v>
      </c>
      <c r="I620" s="5">
        <v>3254994</v>
      </c>
      <c r="J620" s="5">
        <v>0</v>
      </c>
    </row>
    <row r="621" spans="1:10" x14ac:dyDescent="0.3">
      <c r="A621" t="s">
        <v>122</v>
      </c>
      <c r="B621" t="str">
        <f t="shared" si="36"/>
        <v>6</v>
      </c>
      <c r="C621" t="str">
        <f t="shared" si="37"/>
        <v>66</v>
      </c>
      <c r="D621" t="str">
        <f t="shared" si="38"/>
        <v>663</v>
      </c>
      <c r="E621" t="str">
        <f t="shared" si="39"/>
        <v>6638</v>
      </c>
      <c r="F621" s="10" t="s">
        <v>1409</v>
      </c>
      <c r="G621" t="s">
        <v>1410</v>
      </c>
      <c r="H621" s="5">
        <v>0</v>
      </c>
      <c r="I621" s="5">
        <v>12191243</v>
      </c>
      <c r="J621" s="5">
        <v>0</v>
      </c>
    </row>
    <row r="622" spans="1:10" x14ac:dyDescent="0.3">
      <c r="A622" t="s">
        <v>122</v>
      </c>
      <c r="B622" t="str">
        <f t="shared" si="36"/>
        <v>6</v>
      </c>
      <c r="C622" t="str">
        <f t="shared" si="37"/>
        <v>66</v>
      </c>
      <c r="D622" t="str">
        <f t="shared" si="38"/>
        <v>664</v>
      </c>
      <c r="E622" t="str">
        <f t="shared" si="39"/>
        <v>6641</v>
      </c>
      <c r="F622" s="10" t="s">
        <v>1411</v>
      </c>
      <c r="G622" t="s">
        <v>1412</v>
      </c>
      <c r="H622" s="5">
        <v>44208144</v>
      </c>
      <c r="I622" s="5">
        <v>38024167</v>
      </c>
      <c r="J622" s="5">
        <v>44362135</v>
      </c>
    </row>
    <row r="623" spans="1:10" x14ac:dyDescent="0.3">
      <c r="A623" t="s">
        <v>122</v>
      </c>
      <c r="B623" t="str">
        <f t="shared" si="36"/>
        <v>6</v>
      </c>
      <c r="C623" t="str">
        <f t="shared" si="37"/>
        <v>66</v>
      </c>
      <c r="D623" t="str">
        <f t="shared" si="38"/>
        <v>664</v>
      </c>
      <c r="E623" t="str">
        <f t="shared" si="39"/>
        <v>6641</v>
      </c>
      <c r="F623" s="10" t="s">
        <v>1413</v>
      </c>
      <c r="G623" t="s">
        <v>1414</v>
      </c>
      <c r="H623" s="5">
        <v>23799246</v>
      </c>
      <c r="I623" s="5">
        <v>29971722</v>
      </c>
      <c r="J623" s="5">
        <v>30149929</v>
      </c>
    </row>
    <row r="624" spans="1:10" x14ac:dyDescent="0.3">
      <c r="A624" t="s">
        <v>122</v>
      </c>
      <c r="B624" t="str">
        <f t="shared" si="36"/>
        <v>6</v>
      </c>
      <c r="C624" t="str">
        <f t="shared" si="37"/>
        <v>66</v>
      </c>
      <c r="D624" t="str">
        <f t="shared" si="38"/>
        <v>664</v>
      </c>
      <c r="E624" t="str">
        <f t="shared" si="39"/>
        <v>6641</v>
      </c>
      <c r="F624" s="10" t="s">
        <v>1415</v>
      </c>
      <c r="G624" t="s">
        <v>1416</v>
      </c>
      <c r="H624" s="5">
        <v>9831887</v>
      </c>
      <c r="I624" s="5">
        <v>10460555</v>
      </c>
      <c r="J624" s="5">
        <v>7817405</v>
      </c>
    </row>
    <row r="625" spans="1:10" x14ac:dyDescent="0.3">
      <c r="A625" t="s">
        <v>122</v>
      </c>
      <c r="B625" t="str">
        <f t="shared" si="36"/>
        <v>6</v>
      </c>
      <c r="C625" t="str">
        <f t="shared" si="37"/>
        <v>66</v>
      </c>
      <c r="D625" t="str">
        <f t="shared" si="38"/>
        <v>664</v>
      </c>
      <c r="E625" t="str">
        <f t="shared" si="39"/>
        <v>6641</v>
      </c>
      <c r="F625" s="10" t="s">
        <v>1417</v>
      </c>
      <c r="G625" t="s">
        <v>1418</v>
      </c>
      <c r="H625" s="5">
        <v>23180346</v>
      </c>
      <c r="I625" s="5">
        <v>22358089</v>
      </c>
      <c r="J625" s="5">
        <v>26041368</v>
      </c>
    </row>
    <row r="626" spans="1:10" x14ac:dyDescent="0.3">
      <c r="A626" t="s">
        <v>122</v>
      </c>
      <c r="B626" t="str">
        <f t="shared" si="36"/>
        <v>6</v>
      </c>
      <c r="C626" t="str">
        <f t="shared" si="37"/>
        <v>66</v>
      </c>
      <c r="D626" t="str">
        <f t="shared" si="38"/>
        <v>664</v>
      </c>
      <c r="E626" t="str">
        <f t="shared" si="39"/>
        <v>6648</v>
      </c>
      <c r="F626" s="10" t="s">
        <v>1419</v>
      </c>
      <c r="G626" t="s">
        <v>1420</v>
      </c>
      <c r="H626" s="5">
        <v>13842489</v>
      </c>
      <c r="I626" s="5">
        <v>0</v>
      </c>
      <c r="J626" s="5">
        <v>0</v>
      </c>
    </row>
    <row r="627" spans="1:10" x14ac:dyDescent="0.3">
      <c r="A627" t="s">
        <v>124</v>
      </c>
      <c r="B627" t="str">
        <f t="shared" si="36"/>
        <v>6</v>
      </c>
      <c r="C627" t="str">
        <f t="shared" si="37"/>
        <v>67</v>
      </c>
      <c r="D627" t="str">
        <f t="shared" si="38"/>
        <v>671</v>
      </c>
      <c r="E627" t="str">
        <f t="shared" si="39"/>
        <v>6711</v>
      </c>
      <c r="F627" s="10" t="s">
        <v>1421</v>
      </c>
      <c r="G627" t="s">
        <v>1422</v>
      </c>
      <c r="H627" s="5">
        <v>236633241</v>
      </c>
      <c r="I627" s="5">
        <v>156556734</v>
      </c>
      <c r="J627" s="5">
        <v>76480235</v>
      </c>
    </row>
    <row r="628" spans="1:10" x14ac:dyDescent="0.3">
      <c r="A628" t="s">
        <v>124</v>
      </c>
      <c r="B628" t="str">
        <f t="shared" si="36"/>
        <v>6</v>
      </c>
      <c r="C628" t="str">
        <f t="shared" si="37"/>
        <v>67</v>
      </c>
      <c r="D628" t="str">
        <f t="shared" si="38"/>
        <v>671</v>
      </c>
      <c r="E628" t="str">
        <f t="shared" si="39"/>
        <v>6712</v>
      </c>
      <c r="F628" s="10" t="s">
        <v>1423</v>
      </c>
      <c r="G628" t="s">
        <v>1424</v>
      </c>
      <c r="H628" s="5">
        <v>83651058</v>
      </c>
      <c r="I628" s="5">
        <v>32633835</v>
      </c>
      <c r="J628" s="5">
        <v>31664473</v>
      </c>
    </row>
    <row r="629" spans="1:10" x14ac:dyDescent="0.3">
      <c r="A629" t="s">
        <v>124</v>
      </c>
      <c r="B629" t="str">
        <f t="shared" si="36"/>
        <v>6</v>
      </c>
      <c r="C629" t="str">
        <f t="shared" si="37"/>
        <v>67</v>
      </c>
      <c r="D629" t="str">
        <f t="shared" si="38"/>
        <v>671</v>
      </c>
      <c r="E629" t="str">
        <f t="shared" si="39"/>
        <v>6713</v>
      </c>
      <c r="F629" s="10" t="s">
        <v>1425</v>
      </c>
      <c r="G629" t="s">
        <v>1426</v>
      </c>
      <c r="H629" s="5">
        <v>359342430</v>
      </c>
      <c r="I629" s="5">
        <v>280637317</v>
      </c>
      <c r="J629" s="5">
        <v>180286500</v>
      </c>
    </row>
    <row r="630" spans="1:10" x14ac:dyDescent="0.3">
      <c r="A630" t="s">
        <v>124</v>
      </c>
      <c r="B630" t="str">
        <f t="shared" si="36"/>
        <v>6</v>
      </c>
      <c r="C630" t="str">
        <f t="shared" si="37"/>
        <v>67</v>
      </c>
      <c r="D630" t="str">
        <f t="shared" si="38"/>
        <v>671</v>
      </c>
      <c r="E630" t="str">
        <f t="shared" si="39"/>
        <v>6714</v>
      </c>
      <c r="F630" s="10" t="s">
        <v>1427</v>
      </c>
      <c r="G630" t="s">
        <v>1428</v>
      </c>
      <c r="H630" s="5">
        <v>278706990</v>
      </c>
      <c r="I630" s="5">
        <v>486917469</v>
      </c>
      <c r="J630" s="5">
        <v>739575002</v>
      </c>
    </row>
    <row r="631" spans="1:10" x14ac:dyDescent="0.3">
      <c r="A631" t="s">
        <v>124</v>
      </c>
      <c r="B631" t="str">
        <f t="shared" si="36"/>
        <v>6</v>
      </c>
      <c r="C631" t="str">
        <f t="shared" si="37"/>
        <v>67</v>
      </c>
      <c r="D631" t="str">
        <f t="shared" si="38"/>
        <v>675</v>
      </c>
      <c r="E631" t="str">
        <f t="shared" si="39"/>
        <v>6750</v>
      </c>
      <c r="F631" s="10" t="s">
        <v>1429</v>
      </c>
      <c r="G631" t="s">
        <v>1430</v>
      </c>
      <c r="H631" s="5">
        <v>51736413</v>
      </c>
      <c r="I631" s="5">
        <v>34873322</v>
      </c>
      <c r="J631" s="5">
        <v>24860827</v>
      </c>
    </row>
    <row r="632" spans="1:10" x14ac:dyDescent="0.3">
      <c r="A632" t="s">
        <v>124</v>
      </c>
      <c r="B632" t="str">
        <f t="shared" si="36"/>
        <v>6</v>
      </c>
      <c r="C632" t="str">
        <f t="shared" si="37"/>
        <v>67</v>
      </c>
      <c r="D632" t="str">
        <f t="shared" si="38"/>
        <v>676</v>
      </c>
      <c r="E632" t="str">
        <f t="shared" si="39"/>
        <v>6760</v>
      </c>
      <c r="F632" s="10" t="s">
        <v>1431</v>
      </c>
      <c r="G632" t="s">
        <v>1432</v>
      </c>
      <c r="H632" s="5">
        <v>0</v>
      </c>
      <c r="I632" s="5">
        <v>0</v>
      </c>
      <c r="J632" s="5">
        <v>3054136</v>
      </c>
    </row>
    <row r="633" spans="1:10" x14ac:dyDescent="0.3">
      <c r="A633" t="s">
        <v>124</v>
      </c>
      <c r="B633" t="str">
        <f t="shared" si="36"/>
        <v>6</v>
      </c>
      <c r="C633" t="str">
        <f t="shared" si="37"/>
        <v>67</v>
      </c>
      <c r="D633" t="str">
        <f t="shared" si="38"/>
        <v>679</v>
      </c>
      <c r="E633" t="str">
        <f t="shared" si="39"/>
        <v>6798</v>
      </c>
      <c r="F633" s="10" t="s">
        <v>1433</v>
      </c>
      <c r="G633" t="s">
        <v>1434</v>
      </c>
      <c r="H633" s="5">
        <v>0</v>
      </c>
      <c r="I633" s="5">
        <v>0</v>
      </c>
      <c r="J633" s="5">
        <v>0</v>
      </c>
    </row>
    <row r="634" spans="1:10" x14ac:dyDescent="0.3">
      <c r="A634" t="s">
        <v>126</v>
      </c>
      <c r="B634" t="str">
        <f t="shared" si="36"/>
        <v>6</v>
      </c>
      <c r="C634" t="str">
        <f t="shared" si="37"/>
        <v>68</v>
      </c>
      <c r="D634" t="str">
        <f t="shared" si="38"/>
        <v>681</v>
      </c>
      <c r="E634" t="str">
        <f t="shared" si="39"/>
        <v>6811</v>
      </c>
      <c r="F634" s="10" t="s">
        <v>1435</v>
      </c>
      <c r="G634" t="s">
        <v>1436</v>
      </c>
      <c r="H634" s="5">
        <v>19151536</v>
      </c>
      <c r="I634" s="5">
        <v>0</v>
      </c>
      <c r="J634" s="5">
        <v>0</v>
      </c>
    </row>
    <row r="635" spans="1:10" x14ac:dyDescent="0.3">
      <c r="A635" t="s">
        <v>126</v>
      </c>
      <c r="B635" t="str">
        <f t="shared" si="36"/>
        <v>6</v>
      </c>
      <c r="C635" t="str">
        <f t="shared" si="37"/>
        <v>68</v>
      </c>
      <c r="D635" t="str">
        <f t="shared" si="38"/>
        <v>681</v>
      </c>
      <c r="E635" t="str">
        <f t="shared" si="39"/>
        <v>6812</v>
      </c>
      <c r="F635" s="10" t="s">
        <v>1437</v>
      </c>
      <c r="G635" t="s">
        <v>1438</v>
      </c>
      <c r="H635" s="5">
        <v>0</v>
      </c>
      <c r="I635" s="5">
        <v>0</v>
      </c>
      <c r="J635" s="5">
        <v>0</v>
      </c>
    </row>
    <row r="636" spans="1:10" x14ac:dyDescent="0.3">
      <c r="A636" t="s">
        <v>126</v>
      </c>
      <c r="B636" t="str">
        <f t="shared" si="36"/>
        <v>6</v>
      </c>
      <c r="C636" t="str">
        <f t="shared" si="37"/>
        <v>68</v>
      </c>
      <c r="D636" t="str">
        <f t="shared" si="38"/>
        <v>681</v>
      </c>
      <c r="E636" t="str">
        <f t="shared" si="39"/>
        <v>6812</v>
      </c>
      <c r="F636" s="10" t="s">
        <v>1439</v>
      </c>
      <c r="G636" t="s">
        <v>1440</v>
      </c>
      <c r="H636" s="5">
        <v>802764</v>
      </c>
      <c r="I636" s="5">
        <v>802764</v>
      </c>
      <c r="J636" s="5">
        <v>802764</v>
      </c>
    </row>
    <row r="637" spans="1:10" x14ac:dyDescent="0.3">
      <c r="A637" t="s">
        <v>126</v>
      </c>
      <c r="B637" t="str">
        <f t="shared" si="36"/>
        <v>6</v>
      </c>
      <c r="C637" t="str">
        <f t="shared" si="37"/>
        <v>68</v>
      </c>
      <c r="D637" t="str">
        <f t="shared" si="38"/>
        <v>681</v>
      </c>
      <c r="E637" t="str">
        <f t="shared" si="39"/>
        <v>6812</v>
      </c>
      <c r="F637" s="10" t="s">
        <v>1441</v>
      </c>
      <c r="G637" t="s">
        <v>1442</v>
      </c>
      <c r="H637" s="5">
        <v>101688</v>
      </c>
      <c r="I637" s="5">
        <v>101688</v>
      </c>
      <c r="J637" s="5">
        <v>101688</v>
      </c>
    </row>
    <row r="638" spans="1:10" x14ac:dyDescent="0.3">
      <c r="A638" t="s">
        <v>126</v>
      </c>
      <c r="B638" t="str">
        <f t="shared" si="36"/>
        <v>6</v>
      </c>
      <c r="C638" t="str">
        <f t="shared" si="37"/>
        <v>68</v>
      </c>
      <c r="D638" t="str">
        <f t="shared" si="38"/>
        <v>681</v>
      </c>
      <c r="E638" t="str">
        <f t="shared" si="39"/>
        <v>6812</v>
      </c>
      <c r="F638" s="10" t="s">
        <v>1443</v>
      </c>
      <c r="G638" t="s">
        <v>1444</v>
      </c>
      <c r="H638" s="5">
        <v>56650129</v>
      </c>
      <c r="I638" s="5">
        <v>8561508</v>
      </c>
      <c r="J638" s="5">
        <v>7443207</v>
      </c>
    </row>
    <row r="639" spans="1:10" x14ac:dyDescent="0.3">
      <c r="A639" t="s">
        <v>126</v>
      </c>
      <c r="B639" t="str">
        <f t="shared" si="36"/>
        <v>6</v>
      </c>
      <c r="C639" t="str">
        <f t="shared" si="37"/>
        <v>68</v>
      </c>
      <c r="D639" t="str">
        <f t="shared" si="38"/>
        <v>681</v>
      </c>
      <c r="E639" t="str">
        <f t="shared" si="39"/>
        <v>6813</v>
      </c>
      <c r="F639" s="10" t="s">
        <v>1445</v>
      </c>
      <c r="G639" t="s">
        <v>1446</v>
      </c>
      <c r="H639" s="5">
        <v>0</v>
      </c>
      <c r="I639" s="5">
        <v>0</v>
      </c>
      <c r="J639" s="5">
        <v>0</v>
      </c>
    </row>
    <row r="640" spans="1:10" x14ac:dyDescent="0.3">
      <c r="A640" t="s">
        <v>126</v>
      </c>
      <c r="B640" t="str">
        <f t="shared" si="36"/>
        <v>6</v>
      </c>
      <c r="C640" t="str">
        <f t="shared" si="37"/>
        <v>68</v>
      </c>
      <c r="D640" t="str">
        <f t="shared" si="38"/>
        <v>681</v>
      </c>
      <c r="E640" t="str">
        <f t="shared" si="39"/>
        <v>6813</v>
      </c>
      <c r="F640" s="10" t="s">
        <v>1447</v>
      </c>
      <c r="G640" t="s">
        <v>1448</v>
      </c>
      <c r="H640" s="5">
        <v>698518605</v>
      </c>
      <c r="I640" s="5">
        <v>527188202</v>
      </c>
      <c r="J640" s="5">
        <v>598184829</v>
      </c>
    </row>
    <row r="641" spans="1:10" x14ac:dyDescent="0.3">
      <c r="A641" t="s">
        <v>126</v>
      </c>
      <c r="B641" t="str">
        <f t="shared" si="36"/>
        <v>6</v>
      </c>
      <c r="C641" t="str">
        <f t="shared" si="37"/>
        <v>68</v>
      </c>
      <c r="D641" t="str">
        <f t="shared" si="38"/>
        <v>681</v>
      </c>
      <c r="E641" t="str">
        <f t="shared" si="39"/>
        <v>6813</v>
      </c>
      <c r="F641" s="10" t="s">
        <v>1449</v>
      </c>
      <c r="G641" t="s">
        <v>1450</v>
      </c>
      <c r="H641" s="5">
        <v>361515093</v>
      </c>
      <c r="I641" s="5">
        <v>295750435</v>
      </c>
      <c r="J641" s="5">
        <v>332981818</v>
      </c>
    </row>
    <row r="642" spans="1:10" x14ac:dyDescent="0.3">
      <c r="A642" t="s">
        <v>126</v>
      </c>
      <c r="B642" t="str">
        <f t="shared" ref="B642:B684" si="40">LEFT($F642,1)</f>
        <v>6</v>
      </c>
      <c r="C642" t="str">
        <f t="shared" ref="C642:C684" si="41">LEFT($F642,2)</f>
        <v>68</v>
      </c>
      <c r="D642" t="str">
        <f t="shared" ref="D642:D684" si="42">LEFT($F642,3)</f>
        <v>681</v>
      </c>
      <c r="E642" t="str">
        <f t="shared" ref="E642:E684" si="43">LEFT($F642,4)</f>
        <v>6813</v>
      </c>
      <c r="F642" s="10" t="s">
        <v>1451</v>
      </c>
      <c r="G642" t="s">
        <v>1452</v>
      </c>
      <c r="H642" s="5">
        <v>39855962</v>
      </c>
      <c r="I642" s="5">
        <v>40449160</v>
      </c>
      <c r="J642" s="5">
        <v>39538480</v>
      </c>
    </row>
    <row r="643" spans="1:10" x14ac:dyDescent="0.3">
      <c r="A643" t="s">
        <v>126</v>
      </c>
      <c r="B643" t="str">
        <f t="shared" si="40"/>
        <v>6</v>
      </c>
      <c r="C643" t="str">
        <f t="shared" si="41"/>
        <v>68</v>
      </c>
      <c r="D643" t="str">
        <f t="shared" si="42"/>
        <v>681</v>
      </c>
      <c r="E643" t="str">
        <f t="shared" si="43"/>
        <v>6813</v>
      </c>
      <c r="F643" s="10" t="s">
        <v>1453</v>
      </c>
      <c r="G643" t="s">
        <v>1454</v>
      </c>
      <c r="H643" s="5">
        <v>39914894</v>
      </c>
      <c r="I643" s="5">
        <v>43059142</v>
      </c>
      <c r="J643" s="5">
        <v>48270434</v>
      </c>
    </row>
    <row r="644" spans="1:10" x14ac:dyDescent="0.3">
      <c r="A644" t="s">
        <v>126</v>
      </c>
      <c r="B644" t="str">
        <f t="shared" si="40"/>
        <v>6</v>
      </c>
      <c r="C644" t="str">
        <f t="shared" si="41"/>
        <v>69</v>
      </c>
      <c r="D644" t="str">
        <f t="shared" si="42"/>
        <v>691</v>
      </c>
      <c r="E644" t="str">
        <f t="shared" si="43"/>
        <v>6911</v>
      </c>
      <c r="F644" s="10" t="s">
        <v>1455</v>
      </c>
      <c r="G644" t="s">
        <v>1456</v>
      </c>
      <c r="H644" s="5">
        <v>30017736</v>
      </c>
      <c r="I644" s="5">
        <v>0</v>
      </c>
      <c r="J644" s="5">
        <v>0</v>
      </c>
    </row>
    <row r="645" spans="1:10" x14ac:dyDescent="0.3">
      <c r="A645" t="s">
        <v>126</v>
      </c>
      <c r="B645" t="str">
        <f t="shared" si="40"/>
        <v>6</v>
      </c>
      <c r="C645" t="str">
        <f t="shared" si="41"/>
        <v>69</v>
      </c>
      <c r="D645" t="str">
        <f t="shared" si="42"/>
        <v>691</v>
      </c>
      <c r="E645" t="str">
        <f t="shared" si="43"/>
        <v>6911</v>
      </c>
      <c r="F645" s="10" t="s">
        <v>1457</v>
      </c>
      <c r="G645" t="s">
        <v>1458</v>
      </c>
      <c r="H645" s="5">
        <v>0</v>
      </c>
      <c r="I645" s="5">
        <v>0</v>
      </c>
      <c r="J645" s="5">
        <v>0</v>
      </c>
    </row>
    <row r="646" spans="1:10" x14ac:dyDescent="0.3">
      <c r="A646" t="s">
        <v>126</v>
      </c>
      <c r="B646" t="str">
        <f t="shared" si="40"/>
        <v>6</v>
      </c>
      <c r="C646" t="str">
        <f t="shared" si="41"/>
        <v>69</v>
      </c>
      <c r="D646" t="str">
        <f t="shared" si="42"/>
        <v>691</v>
      </c>
      <c r="E646" t="str">
        <f t="shared" si="43"/>
        <v>6911</v>
      </c>
      <c r="F646" s="10" t="s">
        <v>1459</v>
      </c>
      <c r="G646" t="s">
        <v>1460</v>
      </c>
      <c r="H646" s="5">
        <v>12474773</v>
      </c>
      <c r="I646" s="5">
        <v>0</v>
      </c>
      <c r="J646" s="5">
        <v>8988206</v>
      </c>
    </row>
    <row r="647" spans="1:10" x14ac:dyDescent="0.3">
      <c r="A647" t="s">
        <v>126</v>
      </c>
      <c r="B647" t="str">
        <f t="shared" si="40"/>
        <v>6</v>
      </c>
      <c r="C647" t="str">
        <f t="shared" si="41"/>
        <v>69</v>
      </c>
      <c r="D647" t="str">
        <f t="shared" si="42"/>
        <v>691</v>
      </c>
      <c r="E647" t="str">
        <f t="shared" si="43"/>
        <v>6911</v>
      </c>
      <c r="F647" s="10" t="s">
        <v>1461</v>
      </c>
      <c r="G647" t="s">
        <v>1462</v>
      </c>
      <c r="H647" s="5">
        <v>15175424</v>
      </c>
      <c r="I647" s="5">
        <v>0</v>
      </c>
      <c r="J647" s="5">
        <v>9458073</v>
      </c>
    </row>
    <row r="648" spans="1:10" x14ac:dyDescent="0.3">
      <c r="A648" t="s">
        <v>126</v>
      </c>
      <c r="B648" t="str">
        <f t="shared" si="40"/>
        <v>6</v>
      </c>
      <c r="C648" t="str">
        <f t="shared" si="41"/>
        <v>69</v>
      </c>
      <c r="D648" t="str">
        <f t="shared" si="42"/>
        <v>691</v>
      </c>
      <c r="E648" t="str">
        <f t="shared" si="43"/>
        <v>6911</v>
      </c>
      <c r="F648" s="10" t="s">
        <v>1463</v>
      </c>
      <c r="G648" t="s">
        <v>1464</v>
      </c>
      <c r="H648" s="5">
        <v>4579730</v>
      </c>
      <c r="I648" s="5">
        <v>0</v>
      </c>
      <c r="J648" s="5">
        <v>2037593</v>
      </c>
    </row>
    <row r="649" spans="1:10" x14ac:dyDescent="0.3">
      <c r="A649" t="s">
        <v>126</v>
      </c>
      <c r="B649" t="str">
        <f t="shared" si="40"/>
        <v>6</v>
      </c>
      <c r="C649" t="str">
        <f t="shared" si="41"/>
        <v>69</v>
      </c>
      <c r="D649" t="str">
        <f t="shared" si="42"/>
        <v>691</v>
      </c>
      <c r="E649" t="str">
        <f t="shared" si="43"/>
        <v>6911</v>
      </c>
      <c r="F649" s="10" t="s">
        <v>1465</v>
      </c>
      <c r="G649" t="s">
        <v>1466</v>
      </c>
      <c r="H649" s="5">
        <v>7115291</v>
      </c>
      <c r="I649" s="5">
        <v>0</v>
      </c>
      <c r="J649" s="5">
        <v>11195524</v>
      </c>
    </row>
    <row r="650" spans="1:10" x14ac:dyDescent="0.3">
      <c r="A650" t="s">
        <v>126</v>
      </c>
      <c r="B650" t="str">
        <f t="shared" si="40"/>
        <v>6</v>
      </c>
      <c r="C650" t="str">
        <f t="shared" si="41"/>
        <v>69</v>
      </c>
      <c r="D650" t="str">
        <f t="shared" si="42"/>
        <v>691</v>
      </c>
      <c r="E650" t="str">
        <f t="shared" si="43"/>
        <v>6912</v>
      </c>
      <c r="F650" s="10" t="s">
        <v>1467</v>
      </c>
      <c r="G650" t="s">
        <v>1468</v>
      </c>
      <c r="H650" s="5">
        <v>0</v>
      </c>
      <c r="I650" s="5">
        <v>0</v>
      </c>
      <c r="J650" s="5">
        <v>0</v>
      </c>
    </row>
    <row r="651" spans="1:10" x14ac:dyDescent="0.3">
      <c r="A651" t="s">
        <v>126</v>
      </c>
      <c r="B651" t="str">
        <f t="shared" si="40"/>
        <v>6</v>
      </c>
      <c r="C651" t="str">
        <f t="shared" si="41"/>
        <v>69</v>
      </c>
      <c r="D651" t="str">
        <f t="shared" si="42"/>
        <v>696</v>
      </c>
      <c r="E651" t="str">
        <f t="shared" si="43"/>
        <v>6961</v>
      </c>
      <c r="F651" s="10" t="s">
        <v>1469</v>
      </c>
      <c r="G651" t="s">
        <v>1470</v>
      </c>
      <c r="H651" s="5">
        <v>24527353</v>
      </c>
      <c r="I651" s="5">
        <v>0</v>
      </c>
      <c r="J651" s="5">
        <v>0</v>
      </c>
    </row>
    <row r="652" spans="1:10" x14ac:dyDescent="0.3">
      <c r="A652" t="s">
        <v>126</v>
      </c>
      <c r="B652" t="str">
        <f t="shared" si="40"/>
        <v>6</v>
      </c>
      <c r="C652" t="str">
        <f t="shared" si="41"/>
        <v>69</v>
      </c>
      <c r="D652" t="str">
        <f t="shared" si="42"/>
        <v>696</v>
      </c>
      <c r="E652" t="str">
        <f t="shared" si="43"/>
        <v>6961</v>
      </c>
      <c r="F652" s="10" t="s">
        <v>1471</v>
      </c>
      <c r="G652" t="s">
        <v>1472</v>
      </c>
      <c r="H652" s="5">
        <v>38847445</v>
      </c>
      <c r="I652" s="5">
        <v>0</v>
      </c>
      <c r="J652" s="5">
        <v>0</v>
      </c>
    </row>
    <row r="653" spans="1:10" x14ac:dyDescent="0.3">
      <c r="A653" t="s">
        <v>126</v>
      </c>
      <c r="B653" t="str">
        <f t="shared" si="40"/>
        <v>6</v>
      </c>
      <c r="C653" t="str">
        <f t="shared" si="41"/>
        <v>69</v>
      </c>
      <c r="D653" t="str">
        <f t="shared" si="42"/>
        <v>696</v>
      </c>
      <c r="E653" t="str">
        <f t="shared" si="43"/>
        <v>6961</v>
      </c>
      <c r="F653" s="10" t="s">
        <v>1473</v>
      </c>
      <c r="G653" t="s">
        <v>1474</v>
      </c>
      <c r="H653" s="5">
        <v>13112866</v>
      </c>
      <c r="I653" s="5">
        <v>0</v>
      </c>
      <c r="J653" s="5">
        <v>0</v>
      </c>
    </row>
    <row r="654" spans="1:10" x14ac:dyDescent="0.3">
      <c r="A654" t="s">
        <v>126</v>
      </c>
      <c r="B654" t="str">
        <f t="shared" si="40"/>
        <v>6</v>
      </c>
      <c r="C654" t="str">
        <f t="shared" si="41"/>
        <v>69</v>
      </c>
      <c r="D654" t="str">
        <f t="shared" si="42"/>
        <v>696</v>
      </c>
      <c r="E654" t="str">
        <f t="shared" si="43"/>
        <v>6961</v>
      </c>
      <c r="F654" s="10" t="s">
        <v>1475</v>
      </c>
      <c r="G654" t="s">
        <v>1476</v>
      </c>
      <c r="H654" s="5">
        <v>11435053</v>
      </c>
      <c r="I654" s="5">
        <v>0</v>
      </c>
      <c r="J654" s="5">
        <v>0</v>
      </c>
    </row>
    <row r="655" spans="1:10" x14ac:dyDescent="0.3">
      <c r="A655" t="s">
        <v>133</v>
      </c>
      <c r="B655" t="str">
        <f t="shared" si="40"/>
        <v>7</v>
      </c>
      <c r="C655" t="str">
        <f t="shared" si="41"/>
        <v>70</v>
      </c>
      <c r="D655" t="str">
        <f t="shared" si="42"/>
        <v>702</v>
      </c>
      <c r="E655" t="str">
        <f t="shared" si="43"/>
        <v>7021</v>
      </c>
      <c r="F655" s="10" t="s">
        <v>1477</v>
      </c>
      <c r="G655" t="s">
        <v>1478</v>
      </c>
      <c r="H655" s="5">
        <v>-22085364747</v>
      </c>
      <c r="I655" s="5">
        <v>-13414962204</v>
      </c>
      <c r="J655" s="5">
        <v>-16974513973</v>
      </c>
    </row>
    <row r="656" spans="1:10" x14ac:dyDescent="0.3">
      <c r="A656" t="s">
        <v>133</v>
      </c>
      <c r="B656" t="str">
        <f t="shared" si="40"/>
        <v>7</v>
      </c>
      <c r="C656" t="str">
        <f t="shared" si="41"/>
        <v>70</v>
      </c>
      <c r="D656" t="str">
        <f t="shared" si="42"/>
        <v>702</v>
      </c>
      <c r="E656" t="str">
        <f t="shared" si="43"/>
        <v>7021</v>
      </c>
      <c r="F656" s="10" t="s">
        <v>1479</v>
      </c>
      <c r="G656" t="s">
        <v>1480</v>
      </c>
      <c r="H656" s="5">
        <v>-223278000</v>
      </c>
      <c r="I656" s="5">
        <v>-4119175563</v>
      </c>
      <c r="J656" s="5">
        <v>-5177856903</v>
      </c>
    </row>
    <row r="657" spans="1:10" x14ac:dyDescent="0.3">
      <c r="A657" t="s">
        <v>133</v>
      </c>
      <c r="B657" t="str">
        <f t="shared" si="40"/>
        <v>7</v>
      </c>
      <c r="C657" t="str">
        <f t="shared" si="41"/>
        <v>70</v>
      </c>
      <c r="D657" t="str">
        <f t="shared" si="42"/>
        <v>702</v>
      </c>
      <c r="E657" t="str">
        <f t="shared" si="43"/>
        <v>7021</v>
      </c>
      <c r="F657" s="10" t="s">
        <v>1481</v>
      </c>
      <c r="G657" t="s">
        <v>1482</v>
      </c>
      <c r="H657" s="5">
        <v>-1511319548</v>
      </c>
      <c r="I657" s="5">
        <v>-1784789578</v>
      </c>
      <c r="J657" s="5">
        <v>-1308693804</v>
      </c>
    </row>
    <row r="658" spans="1:10" x14ac:dyDescent="0.3">
      <c r="A658" t="s">
        <v>133</v>
      </c>
      <c r="B658" t="str">
        <f t="shared" si="40"/>
        <v>7</v>
      </c>
      <c r="C658" t="str">
        <f t="shared" si="41"/>
        <v>70</v>
      </c>
      <c r="D658" t="str">
        <f t="shared" si="42"/>
        <v>704</v>
      </c>
      <c r="E658" t="str">
        <f t="shared" si="43"/>
        <v>7041</v>
      </c>
      <c r="F658" s="10" t="s">
        <v>1483</v>
      </c>
      <c r="G658" t="s">
        <v>1484</v>
      </c>
      <c r="H658" s="5">
        <v>-157999930</v>
      </c>
      <c r="I658" s="5">
        <v>-40480800</v>
      </c>
      <c r="J658" s="5">
        <v>-78682900</v>
      </c>
    </row>
    <row r="659" spans="1:10" x14ac:dyDescent="0.3">
      <c r="A659" t="s">
        <v>133</v>
      </c>
      <c r="B659" t="str">
        <f t="shared" si="40"/>
        <v>7</v>
      </c>
      <c r="C659" t="str">
        <f t="shared" si="41"/>
        <v>70</v>
      </c>
      <c r="D659" t="str">
        <f t="shared" si="42"/>
        <v>704</v>
      </c>
      <c r="E659" t="str">
        <f t="shared" si="43"/>
        <v>7041</v>
      </c>
      <c r="F659" s="10" t="s">
        <v>1485</v>
      </c>
      <c r="G659" t="s">
        <v>1486</v>
      </c>
      <c r="H659" s="5">
        <v>-156372100</v>
      </c>
      <c r="I659" s="5">
        <v>-38841000</v>
      </c>
      <c r="J659" s="5">
        <v>-91271804</v>
      </c>
    </row>
    <row r="660" spans="1:10" x14ac:dyDescent="0.3">
      <c r="A660" t="s">
        <v>133</v>
      </c>
      <c r="B660" t="str">
        <f t="shared" si="40"/>
        <v>7</v>
      </c>
      <c r="C660" t="str">
        <f t="shared" si="41"/>
        <v>70</v>
      </c>
      <c r="D660" t="str">
        <f t="shared" si="42"/>
        <v>704</v>
      </c>
      <c r="E660" t="str">
        <f t="shared" si="43"/>
        <v>7041</v>
      </c>
      <c r="F660" s="10" t="s">
        <v>1487</v>
      </c>
      <c r="G660" t="s">
        <v>1488</v>
      </c>
      <c r="H660" s="5">
        <v>0</v>
      </c>
      <c r="I660" s="5">
        <v>0</v>
      </c>
      <c r="J660" s="5">
        <v>0</v>
      </c>
    </row>
    <row r="661" spans="1:10" x14ac:dyDescent="0.3">
      <c r="A661" t="s">
        <v>133</v>
      </c>
      <c r="B661" t="str">
        <f t="shared" si="40"/>
        <v>7</v>
      </c>
      <c r="C661" t="str">
        <f t="shared" si="41"/>
        <v>70</v>
      </c>
      <c r="D661" t="str">
        <f t="shared" si="42"/>
        <v>707</v>
      </c>
      <c r="E661" t="str">
        <f t="shared" si="43"/>
        <v>7071</v>
      </c>
      <c r="F661" s="10" t="s">
        <v>1489</v>
      </c>
      <c r="G661" t="s">
        <v>1490</v>
      </c>
      <c r="H661" s="5">
        <v>0</v>
      </c>
      <c r="I661" s="5">
        <v>-68892014</v>
      </c>
      <c r="J661" s="5">
        <v>-150882696</v>
      </c>
    </row>
    <row r="662" spans="1:10" x14ac:dyDescent="0.3">
      <c r="A662" t="s">
        <v>133</v>
      </c>
      <c r="B662" t="str">
        <f t="shared" si="40"/>
        <v>7</v>
      </c>
      <c r="C662" t="str">
        <f t="shared" si="41"/>
        <v>70</v>
      </c>
      <c r="D662" t="str">
        <f t="shared" si="42"/>
        <v>707</v>
      </c>
      <c r="E662" t="str">
        <f t="shared" si="43"/>
        <v>7078</v>
      </c>
      <c r="F662" s="10" t="s">
        <v>1491</v>
      </c>
      <c r="G662" t="s">
        <v>1492</v>
      </c>
      <c r="H662" s="5">
        <v>-278675200</v>
      </c>
      <c r="I662" s="5">
        <v>-334641220</v>
      </c>
      <c r="J662" s="5">
        <v>-390296252</v>
      </c>
    </row>
    <row r="663" spans="1:10" x14ac:dyDescent="0.3">
      <c r="A663" t="s">
        <v>133</v>
      </c>
      <c r="B663" t="str">
        <f t="shared" si="40"/>
        <v>7</v>
      </c>
      <c r="C663" t="str">
        <f t="shared" si="41"/>
        <v>70</v>
      </c>
      <c r="D663" t="str">
        <f t="shared" si="42"/>
        <v>707</v>
      </c>
      <c r="E663" t="str">
        <f t="shared" si="43"/>
        <v>7078</v>
      </c>
      <c r="F663" s="10" t="s">
        <v>1493</v>
      </c>
      <c r="G663" t="s">
        <v>1494</v>
      </c>
      <c r="H663" s="5">
        <v>-82662200</v>
      </c>
      <c r="I663" s="5">
        <v>-137013120</v>
      </c>
      <c r="J663" s="5">
        <v>-188807450</v>
      </c>
    </row>
    <row r="664" spans="1:10" x14ac:dyDescent="0.3">
      <c r="A664" t="s">
        <v>133</v>
      </c>
      <c r="B664" t="str">
        <f t="shared" si="40"/>
        <v>7</v>
      </c>
      <c r="C664" t="str">
        <f t="shared" si="41"/>
        <v>70</v>
      </c>
      <c r="D664" t="str">
        <f t="shared" si="42"/>
        <v>707</v>
      </c>
      <c r="E664" t="str">
        <f t="shared" si="43"/>
        <v>7078</v>
      </c>
      <c r="F664" s="10" t="s">
        <v>1495</v>
      </c>
      <c r="G664" t="s">
        <v>1496</v>
      </c>
      <c r="H664" s="5">
        <v>0</v>
      </c>
      <c r="I664" s="5">
        <v>0</v>
      </c>
      <c r="J664" s="5">
        <v>0</v>
      </c>
    </row>
    <row r="665" spans="1:10" x14ac:dyDescent="0.3">
      <c r="A665" t="s">
        <v>133</v>
      </c>
      <c r="B665" t="str">
        <f t="shared" si="40"/>
        <v>7</v>
      </c>
      <c r="C665" t="str">
        <f t="shared" si="41"/>
        <v>70</v>
      </c>
      <c r="D665" t="str">
        <f t="shared" si="42"/>
        <v>707</v>
      </c>
      <c r="E665" t="str">
        <f t="shared" si="43"/>
        <v>7078</v>
      </c>
      <c r="F665" s="10" t="s">
        <v>1497</v>
      </c>
      <c r="G665" t="s">
        <v>1498</v>
      </c>
      <c r="H665" s="5">
        <v>-13890000</v>
      </c>
      <c r="I665" s="5">
        <v>-31192500</v>
      </c>
      <c r="J665" s="5">
        <v>-30702000</v>
      </c>
    </row>
    <row r="666" spans="1:10" x14ac:dyDescent="0.3">
      <c r="A666" t="s">
        <v>133</v>
      </c>
      <c r="B666" t="str">
        <f t="shared" si="40"/>
        <v>7</v>
      </c>
      <c r="C666" t="str">
        <f t="shared" si="41"/>
        <v>70</v>
      </c>
      <c r="D666" t="str">
        <f t="shared" si="42"/>
        <v>707</v>
      </c>
      <c r="E666" t="str">
        <f t="shared" si="43"/>
        <v>7078</v>
      </c>
      <c r="F666" s="10" t="s">
        <v>1499</v>
      </c>
      <c r="G666" t="s">
        <v>1500</v>
      </c>
      <c r="H666" s="5">
        <v>-2107500</v>
      </c>
      <c r="I666" s="5">
        <v>0</v>
      </c>
      <c r="J666" s="5">
        <v>-19616000</v>
      </c>
    </row>
    <row r="667" spans="1:10" x14ac:dyDescent="0.3">
      <c r="A667" t="s">
        <v>133</v>
      </c>
      <c r="B667" t="str">
        <f t="shared" si="40"/>
        <v>7</v>
      </c>
      <c r="C667" t="str">
        <f t="shared" si="41"/>
        <v>70</v>
      </c>
      <c r="D667" t="str">
        <f t="shared" si="42"/>
        <v>707</v>
      </c>
      <c r="E667" t="str">
        <f t="shared" si="43"/>
        <v>7078</v>
      </c>
      <c r="F667" s="10" t="s">
        <v>1501</v>
      </c>
      <c r="G667" t="s">
        <v>1502</v>
      </c>
      <c r="H667" s="5">
        <v>-15220800</v>
      </c>
      <c r="I667" s="5">
        <v>-9714000</v>
      </c>
      <c r="J667" s="5">
        <v>-2500500</v>
      </c>
    </row>
    <row r="668" spans="1:10" x14ac:dyDescent="0.3">
      <c r="A668" t="s">
        <v>133</v>
      </c>
      <c r="B668" t="str">
        <f t="shared" si="40"/>
        <v>7</v>
      </c>
      <c r="C668" t="str">
        <f t="shared" si="41"/>
        <v>70</v>
      </c>
      <c r="D668" t="str">
        <f t="shared" si="42"/>
        <v>707</v>
      </c>
      <c r="E668" t="str">
        <f t="shared" si="43"/>
        <v>7078</v>
      </c>
      <c r="F668" s="10" t="s">
        <v>1503</v>
      </c>
      <c r="G668" t="s">
        <v>1504</v>
      </c>
      <c r="H668" s="5">
        <v>0</v>
      </c>
      <c r="I668" s="5">
        <v>0</v>
      </c>
      <c r="J668" s="5">
        <v>0</v>
      </c>
    </row>
    <row r="669" spans="1:10" x14ac:dyDescent="0.3">
      <c r="A669" t="s">
        <v>142</v>
      </c>
      <c r="B669" t="str">
        <f t="shared" si="40"/>
        <v>7</v>
      </c>
      <c r="C669" t="str">
        <f t="shared" si="41"/>
        <v>73</v>
      </c>
      <c r="D669" t="str">
        <f t="shared" si="42"/>
        <v>736</v>
      </c>
      <c r="E669" t="str">
        <f t="shared" si="43"/>
        <v>7361</v>
      </c>
      <c r="F669" s="10" t="s">
        <v>1505</v>
      </c>
      <c r="G669" t="s">
        <v>1506</v>
      </c>
      <c r="H669" s="5">
        <v>-235946423</v>
      </c>
      <c r="I669" s="5">
        <v>167751170</v>
      </c>
      <c r="J669" s="5">
        <v>6739244</v>
      </c>
    </row>
    <row r="670" spans="1:10" x14ac:dyDescent="0.3">
      <c r="A670" t="s">
        <v>142</v>
      </c>
      <c r="B670" t="str">
        <f t="shared" si="40"/>
        <v>7</v>
      </c>
      <c r="C670" t="str">
        <f t="shared" si="41"/>
        <v>73</v>
      </c>
      <c r="D670" t="str">
        <f t="shared" si="42"/>
        <v>736</v>
      </c>
      <c r="E670" t="str">
        <f t="shared" si="43"/>
        <v>7361</v>
      </c>
      <c r="F670" s="10" t="s">
        <v>1507</v>
      </c>
      <c r="G670" t="s">
        <v>1508</v>
      </c>
      <c r="H670" s="5">
        <v>3931729</v>
      </c>
      <c r="I670" s="5">
        <v>2470303</v>
      </c>
      <c r="J670" s="5">
        <v>581732</v>
      </c>
    </row>
    <row r="671" spans="1:10" x14ac:dyDescent="0.3">
      <c r="A671" t="s">
        <v>142</v>
      </c>
      <c r="B671" t="str">
        <f t="shared" si="40"/>
        <v>7</v>
      </c>
      <c r="C671" t="str">
        <f t="shared" si="41"/>
        <v>73</v>
      </c>
      <c r="D671" t="str">
        <f t="shared" si="42"/>
        <v>736</v>
      </c>
      <c r="E671" t="str">
        <f t="shared" si="43"/>
        <v>7361</v>
      </c>
      <c r="F671" s="10" t="s">
        <v>1509</v>
      </c>
      <c r="G671" t="s">
        <v>1510</v>
      </c>
      <c r="H671" s="5">
        <v>0</v>
      </c>
      <c r="I671" s="5">
        <v>0</v>
      </c>
      <c r="J671" s="5">
        <v>0</v>
      </c>
    </row>
    <row r="672" spans="1:10" x14ac:dyDescent="0.3">
      <c r="A672" t="s">
        <v>142</v>
      </c>
      <c r="B672" t="str">
        <f t="shared" si="40"/>
        <v>7</v>
      </c>
      <c r="C672" t="str">
        <f t="shared" si="41"/>
        <v>73</v>
      </c>
      <c r="D672" t="str">
        <f t="shared" si="42"/>
        <v>737</v>
      </c>
      <c r="E672" t="str">
        <f t="shared" si="43"/>
        <v>7371</v>
      </c>
      <c r="F672" s="10" t="s">
        <v>1511</v>
      </c>
      <c r="G672" t="s">
        <v>1512</v>
      </c>
      <c r="H672" s="5">
        <v>-9356075</v>
      </c>
      <c r="I672" s="5">
        <v>-35433400</v>
      </c>
      <c r="J672" s="5">
        <v>120168125</v>
      </c>
    </row>
    <row r="673" spans="1:10" x14ac:dyDescent="0.3">
      <c r="A673" t="s">
        <v>142</v>
      </c>
      <c r="B673" t="str">
        <f t="shared" si="40"/>
        <v>7</v>
      </c>
      <c r="C673" t="str">
        <f t="shared" si="41"/>
        <v>73</v>
      </c>
      <c r="D673" t="str">
        <f t="shared" si="42"/>
        <v>737</v>
      </c>
      <c r="E673" t="str">
        <f t="shared" si="43"/>
        <v>7372</v>
      </c>
      <c r="F673" s="10" t="s">
        <v>1513</v>
      </c>
      <c r="G673" t="s">
        <v>1514</v>
      </c>
      <c r="H673" s="5">
        <v>-6146765</v>
      </c>
      <c r="I673" s="5">
        <v>6739178</v>
      </c>
      <c r="J673" s="5">
        <v>194692</v>
      </c>
    </row>
    <row r="674" spans="1:10" x14ac:dyDescent="0.3">
      <c r="A674" t="s">
        <v>140</v>
      </c>
      <c r="B674" t="str">
        <f t="shared" si="40"/>
        <v>7</v>
      </c>
      <c r="C674" t="str">
        <f t="shared" si="41"/>
        <v>75</v>
      </c>
      <c r="D674" t="str">
        <f t="shared" si="42"/>
        <v>754</v>
      </c>
      <c r="E674" t="str">
        <f t="shared" si="43"/>
        <v>7540</v>
      </c>
      <c r="F674" s="10" t="s">
        <v>1515</v>
      </c>
      <c r="G674" t="s">
        <v>1516</v>
      </c>
      <c r="H674" s="5">
        <v>0</v>
      </c>
      <c r="I674" s="5">
        <v>0</v>
      </c>
      <c r="J674" s="5">
        <v>0</v>
      </c>
    </row>
    <row r="675" spans="1:10" x14ac:dyDescent="0.3">
      <c r="A675" t="s">
        <v>140</v>
      </c>
      <c r="B675" t="str">
        <f t="shared" si="40"/>
        <v>7</v>
      </c>
      <c r="C675" t="str">
        <f t="shared" si="41"/>
        <v>75</v>
      </c>
      <c r="D675" t="str">
        <f t="shared" si="42"/>
        <v>758</v>
      </c>
      <c r="E675" t="str">
        <f t="shared" si="43"/>
        <v>7588</v>
      </c>
      <c r="F675" s="10" t="s">
        <v>1517</v>
      </c>
      <c r="G675" t="s">
        <v>1518</v>
      </c>
      <c r="H675" s="5">
        <v>-12616990</v>
      </c>
      <c r="I675" s="5">
        <v>-10487000</v>
      </c>
      <c r="J675" s="5">
        <v>-15809750</v>
      </c>
    </row>
    <row r="676" spans="1:10" x14ac:dyDescent="0.3">
      <c r="A676" t="s">
        <v>146</v>
      </c>
      <c r="B676" t="str">
        <f t="shared" si="40"/>
        <v>7</v>
      </c>
      <c r="C676" t="str">
        <f t="shared" si="41"/>
        <v>77</v>
      </c>
      <c r="D676" t="str">
        <f t="shared" si="42"/>
        <v>771</v>
      </c>
      <c r="E676" t="str">
        <f t="shared" si="43"/>
        <v>7711</v>
      </c>
      <c r="F676" s="10" t="s">
        <v>1519</v>
      </c>
      <c r="G676" t="s">
        <v>1520</v>
      </c>
      <c r="H676" s="5">
        <v>0</v>
      </c>
      <c r="I676" s="5">
        <v>-21904110</v>
      </c>
      <c r="J676" s="5">
        <v>0</v>
      </c>
    </row>
    <row r="677" spans="1:10" x14ac:dyDescent="0.3">
      <c r="A677" t="s">
        <v>146</v>
      </c>
      <c r="B677" t="str">
        <f t="shared" si="40"/>
        <v>7</v>
      </c>
      <c r="C677" t="str">
        <f t="shared" si="41"/>
        <v>77</v>
      </c>
      <c r="D677" t="str">
        <f t="shared" si="42"/>
        <v>771</v>
      </c>
      <c r="E677" t="str">
        <f t="shared" si="43"/>
        <v>7718</v>
      </c>
      <c r="F677" s="10" t="s">
        <v>1521</v>
      </c>
      <c r="G677" t="s">
        <v>1522</v>
      </c>
      <c r="H677" s="5">
        <v>0</v>
      </c>
      <c r="I677" s="5">
        <v>0</v>
      </c>
      <c r="J677" s="5">
        <v>-27920709</v>
      </c>
    </row>
    <row r="678" spans="1:10" x14ac:dyDescent="0.3">
      <c r="A678" t="s">
        <v>140</v>
      </c>
      <c r="B678" t="str">
        <f t="shared" si="40"/>
        <v>7</v>
      </c>
      <c r="C678" t="str">
        <f t="shared" si="41"/>
        <v>78</v>
      </c>
      <c r="D678" t="str">
        <f t="shared" si="42"/>
        <v>781</v>
      </c>
      <c r="E678" t="str">
        <f t="shared" si="43"/>
        <v>7810</v>
      </c>
      <c r="F678" s="10" t="s">
        <v>1523</v>
      </c>
      <c r="G678" t="s">
        <v>1524</v>
      </c>
      <c r="H678" s="5">
        <v>0</v>
      </c>
      <c r="I678" s="5">
        <v>0</v>
      </c>
      <c r="J678" s="5">
        <v>0</v>
      </c>
    </row>
    <row r="679" spans="1:10" x14ac:dyDescent="0.3">
      <c r="A679" t="s">
        <v>150</v>
      </c>
      <c r="B679" t="str">
        <f t="shared" si="40"/>
        <v>7</v>
      </c>
      <c r="C679" t="str">
        <f t="shared" si="41"/>
        <v>79</v>
      </c>
      <c r="D679" t="str">
        <f t="shared" si="42"/>
        <v>791</v>
      </c>
      <c r="E679" t="str">
        <f t="shared" si="43"/>
        <v>7911</v>
      </c>
      <c r="F679" s="10" t="s">
        <v>1525</v>
      </c>
      <c r="G679" t="s">
        <v>1526</v>
      </c>
      <c r="H679" s="5">
        <v>0</v>
      </c>
      <c r="I679" s="5">
        <v>-175059658</v>
      </c>
      <c r="J679" s="5">
        <v>-20063402</v>
      </c>
    </row>
    <row r="680" spans="1:10" x14ac:dyDescent="0.3">
      <c r="A680" t="s">
        <v>150</v>
      </c>
      <c r="B680" t="str">
        <f t="shared" si="40"/>
        <v>7</v>
      </c>
      <c r="C680" t="str">
        <f t="shared" si="41"/>
        <v>79</v>
      </c>
      <c r="D680" t="str">
        <f t="shared" si="42"/>
        <v>798</v>
      </c>
      <c r="E680" t="str">
        <f t="shared" si="43"/>
        <v>7980</v>
      </c>
      <c r="F680" s="10" t="s">
        <v>1527</v>
      </c>
      <c r="G680" t="s">
        <v>1528</v>
      </c>
      <c r="H680" s="5">
        <v>0</v>
      </c>
      <c r="I680" s="5">
        <v>-8614622</v>
      </c>
      <c r="J680" s="5">
        <v>0</v>
      </c>
    </row>
    <row r="681" spans="1:10" x14ac:dyDescent="0.3">
      <c r="A681" t="s">
        <v>153</v>
      </c>
      <c r="B681" t="str">
        <f t="shared" si="40"/>
        <v>8</v>
      </c>
      <c r="C681" t="str">
        <f t="shared" si="41"/>
        <v>81</v>
      </c>
      <c r="D681" t="str">
        <f t="shared" si="42"/>
        <v>812</v>
      </c>
      <c r="E681" t="str">
        <f t="shared" si="43"/>
        <v>8120</v>
      </c>
      <c r="F681" s="10" t="s">
        <v>1529</v>
      </c>
      <c r="G681" t="s">
        <v>1530</v>
      </c>
      <c r="H681" s="5">
        <v>113238717</v>
      </c>
      <c r="I681" s="5">
        <v>9524474</v>
      </c>
      <c r="J681" s="5">
        <v>0</v>
      </c>
    </row>
    <row r="682" spans="1:10" x14ac:dyDescent="0.3">
      <c r="A682" t="s">
        <v>153</v>
      </c>
      <c r="B682" t="str">
        <f t="shared" si="40"/>
        <v>8</v>
      </c>
      <c r="C682" t="str">
        <f t="shared" si="41"/>
        <v>82</v>
      </c>
      <c r="D682" t="str">
        <f t="shared" si="42"/>
        <v>822</v>
      </c>
      <c r="E682" t="str">
        <f t="shared" si="43"/>
        <v>8220</v>
      </c>
      <c r="F682" s="10" t="s">
        <v>1531</v>
      </c>
      <c r="G682" t="s">
        <v>1530</v>
      </c>
      <c r="H682" s="5">
        <v>-66376352</v>
      </c>
      <c r="I682" s="5">
        <v>-45990000</v>
      </c>
      <c r="J682" s="5">
        <v>-2700000</v>
      </c>
    </row>
    <row r="683" spans="1:10" x14ac:dyDescent="0.3">
      <c r="A683" t="s">
        <v>153</v>
      </c>
      <c r="B683" t="str">
        <f t="shared" si="40"/>
        <v>8</v>
      </c>
      <c r="C683" t="str">
        <f t="shared" si="41"/>
        <v>86</v>
      </c>
      <c r="D683" t="str">
        <f t="shared" si="42"/>
        <v>862</v>
      </c>
      <c r="E683" t="str">
        <f t="shared" si="43"/>
        <v>8620</v>
      </c>
      <c r="F683" s="10" t="s">
        <v>1532</v>
      </c>
      <c r="G683" t="s">
        <v>1533</v>
      </c>
      <c r="H683" s="5">
        <v>-1718242</v>
      </c>
      <c r="I683" s="5">
        <v>0</v>
      </c>
      <c r="J683" s="5">
        <v>0</v>
      </c>
    </row>
    <row r="684" spans="1:10" x14ac:dyDescent="0.3">
      <c r="A684" t="s">
        <v>163</v>
      </c>
      <c r="B684" t="str">
        <f t="shared" si="40"/>
        <v>8</v>
      </c>
      <c r="C684" t="str">
        <f t="shared" si="41"/>
        <v>89</v>
      </c>
      <c r="D684" t="str">
        <f t="shared" si="42"/>
        <v>899</v>
      </c>
      <c r="E684" t="str">
        <f t="shared" si="43"/>
        <v>8991</v>
      </c>
      <c r="F684" s="10" t="s">
        <v>1534</v>
      </c>
      <c r="G684" t="s">
        <v>1535</v>
      </c>
      <c r="H684" s="5">
        <v>0</v>
      </c>
      <c r="I684" s="5">
        <v>-55306290</v>
      </c>
      <c r="J684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32F2-C416-4841-9A98-69DE0A0CFFB8}">
  <sheetPr>
    <tabColor rgb="FF0070C0"/>
  </sheetPr>
  <dimension ref="A1"/>
  <sheetViews>
    <sheetView showGridLines="0" view="pageBreakPreview" zoomScale="60" zoomScaleNormal="100" workbookViewId="0">
      <selection sqref="A1:XFD1048576"/>
    </sheetView>
  </sheetViews>
  <sheetFormatPr baseColWidth="10" defaultColWidth="11.3984375" defaultRowHeight="13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showGridLines="0" topLeftCell="A17" workbookViewId="0">
      <selection activeCell="C15" sqref="C15"/>
    </sheetView>
  </sheetViews>
  <sheetFormatPr baseColWidth="10" defaultColWidth="11.3984375" defaultRowHeight="13" outlineLevelRow="1" outlineLevelCol="1" x14ac:dyDescent="0.3"/>
  <cols>
    <col min="1" max="1" width="45.09765625" customWidth="1" outlineLevel="1"/>
    <col min="2" max="2" width="40.3984375" customWidth="1"/>
    <col min="3" max="3" width="16.3984375" customWidth="1"/>
    <col min="4" max="5" width="16.296875" bestFit="1" customWidth="1"/>
    <col min="6" max="6" width="1.09765625" customWidth="1"/>
    <col min="7" max="7" width="8.09765625" style="32" customWidth="1"/>
  </cols>
  <sheetData>
    <row r="1" spans="1:7" ht="15.5" x14ac:dyDescent="0.35">
      <c r="A1" s="1" t="s">
        <v>1536</v>
      </c>
    </row>
    <row r="2" spans="1:7" x14ac:dyDescent="0.3">
      <c r="A2" s="2" t="s">
        <v>1537</v>
      </c>
    </row>
    <row r="3" spans="1:7" x14ac:dyDescent="0.3">
      <c r="A3" s="17" t="s">
        <v>165</v>
      </c>
      <c r="B3" s="19" t="s">
        <v>1538</v>
      </c>
      <c r="C3" s="19" t="s">
        <v>172</v>
      </c>
      <c r="D3" s="19" t="s">
        <v>173</v>
      </c>
      <c r="E3" s="19" t="s">
        <v>174</v>
      </c>
      <c r="G3" s="33" t="s">
        <v>1539</v>
      </c>
    </row>
    <row r="4" spans="1:7" x14ac:dyDescent="0.3">
      <c r="A4" s="18" t="s">
        <v>131</v>
      </c>
      <c r="B4" s="21" t="s">
        <v>131</v>
      </c>
      <c r="C4" s="20">
        <f>-SUMIF('BG COMP'!$A:$A,$A4,'BG COMP'!H:H)</f>
        <v>0</v>
      </c>
      <c r="D4" s="20">
        <f>-SUMIF('BG COMP'!$A:$A,$A4,'BG COMP'!I:I)</f>
        <v>0</v>
      </c>
      <c r="E4" s="20">
        <f>-SUMIF('BG COMP'!$A:$A,$A4,'BG COMP'!J:J)</f>
        <v>0</v>
      </c>
      <c r="G4" s="34" t="str">
        <f t="shared" ref="G4:G26" si="0">IFERROR((E4/C4)^(1/2)-1,"n.a")</f>
        <v>n.a</v>
      </c>
    </row>
    <row r="5" spans="1:7" ht="13.5" thickBot="1" x14ac:dyDescent="0.35">
      <c r="A5" s="18" t="s">
        <v>133</v>
      </c>
      <c r="B5" s="21" t="s">
        <v>133</v>
      </c>
      <c r="C5" s="20">
        <f>-SUMIF('BG COMP'!$A:$A,$A5,'BG COMP'!H:H)</f>
        <v>24526890025</v>
      </c>
      <c r="D5" s="20">
        <f>-SUMIF('BG COMP'!$A:$A,$A5,'BG COMP'!I:I)</f>
        <v>19979701999</v>
      </c>
      <c r="E5" s="20">
        <f>-SUMIF('BG COMP'!$A:$A,$A5,'BG COMP'!J:J)</f>
        <v>24413824282</v>
      </c>
      <c r="G5" s="34">
        <f t="shared" si="0"/>
        <v>-2.3075968590812179E-3</v>
      </c>
    </row>
    <row r="6" spans="1:7" x14ac:dyDescent="0.3">
      <c r="A6" s="18"/>
      <c r="B6" s="25" t="s">
        <v>1540</v>
      </c>
      <c r="C6" s="26">
        <f>C4+C5</f>
        <v>24526890025</v>
      </c>
      <c r="D6" s="26">
        <f>D4+D5</f>
        <v>19979701999</v>
      </c>
      <c r="E6" s="26">
        <f>E4+E5</f>
        <v>24413824282</v>
      </c>
      <c r="G6" s="35">
        <f t="shared" si="0"/>
        <v>-2.3075968590812179E-3</v>
      </c>
    </row>
    <row r="7" spans="1:7" outlineLevel="1" x14ac:dyDescent="0.3">
      <c r="A7" s="18" t="s">
        <v>142</v>
      </c>
      <c r="B7" s="24" t="s">
        <v>142</v>
      </c>
      <c r="C7" s="23">
        <f>-SUMIF('BG COMP'!$A:$A,$A7,'BG COMP'!H:H)</f>
        <v>247517534</v>
      </c>
      <c r="D7" s="23">
        <f>-SUMIF('BG COMP'!$A:$A,$A7,'BG COMP'!I:I)</f>
        <v>-141527251</v>
      </c>
      <c r="E7" s="23">
        <f>-SUMIF('BG COMP'!$A:$A,$A7,'BG COMP'!J:J)</f>
        <v>-127683793</v>
      </c>
      <c r="G7" s="37" t="str">
        <f t="shared" si="0"/>
        <v>n.a</v>
      </c>
    </row>
    <row r="8" spans="1:7" outlineLevel="1" x14ac:dyDescent="0.3">
      <c r="A8" s="18" t="s">
        <v>85</v>
      </c>
      <c r="B8" s="24" t="s">
        <v>85</v>
      </c>
      <c r="C8" s="23">
        <f>-SUMIF('BG COMP'!$A:$A,$A8,'BG COMP'!H:H)</f>
        <v>-14528621928</v>
      </c>
      <c r="D8" s="23">
        <f>-SUMIF('BG COMP'!$A:$A,$A8,'BG COMP'!I:I)</f>
        <v>-11560284709</v>
      </c>
      <c r="E8" s="23">
        <f>-SUMIF('BG COMP'!$A:$A,$A8,'BG COMP'!J:J)</f>
        <v>-15549114315</v>
      </c>
      <c r="G8" s="37">
        <f t="shared" si="0"/>
        <v>3.4524111112868905E-2</v>
      </c>
    </row>
    <row r="9" spans="1:7" outlineLevel="1" x14ac:dyDescent="0.3">
      <c r="A9" s="18" t="s">
        <v>90</v>
      </c>
      <c r="B9" s="24" t="s">
        <v>90</v>
      </c>
      <c r="C9" s="23">
        <f>-SUMIF('BG COMP'!$A:$A,$A9,'BG COMP'!H:H)</f>
        <v>-1538283414</v>
      </c>
      <c r="D9" s="23">
        <f>-SUMIF('BG COMP'!$A:$A,$A9,'BG COMP'!I:I)</f>
        <v>-1166313837</v>
      </c>
      <c r="E9" s="23">
        <f>-SUMIF('BG COMP'!$A:$A,$A9,'BG COMP'!J:J)</f>
        <v>-1399980232</v>
      </c>
      <c r="G9" s="37">
        <f t="shared" si="0"/>
        <v>-4.6012305041990831E-2</v>
      </c>
    </row>
    <row r="10" spans="1:7" outlineLevel="1" x14ac:dyDescent="0.3">
      <c r="A10" s="18" t="s">
        <v>94</v>
      </c>
      <c r="B10" s="24" t="s">
        <v>94</v>
      </c>
      <c r="C10" s="23">
        <f>-SUMIF('BG COMP'!$A:$A,$A10,'BG COMP'!H:H)</f>
        <v>-34833289</v>
      </c>
      <c r="D10" s="23">
        <f>-SUMIF('BG COMP'!$A:$A,$A10,'BG COMP'!I:I)</f>
        <v>-119026416</v>
      </c>
      <c r="E10" s="23">
        <f>-SUMIF('BG COMP'!$A:$A,$A10,'BG COMP'!J:J)</f>
        <v>-172703093</v>
      </c>
      <c r="G10" s="37">
        <f t="shared" si="0"/>
        <v>1.2266544054408999</v>
      </c>
    </row>
    <row r="11" spans="1:7" outlineLevel="1" x14ac:dyDescent="0.3">
      <c r="A11" s="18" t="s">
        <v>98</v>
      </c>
      <c r="B11" s="24" t="s">
        <v>98</v>
      </c>
      <c r="C11" s="23">
        <f>-SUMIF('BG COMP'!$A:$A,$A11,'BG COMP'!H:H)</f>
        <v>0</v>
      </c>
      <c r="D11" s="23">
        <f>-SUMIF('BG COMP'!$A:$A,$A11,'BG COMP'!I:I)</f>
        <v>0</v>
      </c>
      <c r="E11" s="23">
        <f>-SUMIF('BG COMP'!$A:$A,$A11,'BG COMP'!J:J)</f>
        <v>0</v>
      </c>
      <c r="G11" s="37" t="str">
        <f t="shared" si="0"/>
        <v>n.a</v>
      </c>
    </row>
    <row r="12" spans="1:7" outlineLevel="1" x14ac:dyDescent="0.3">
      <c r="A12" s="18" t="s">
        <v>100</v>
      </c>
      <c r="B12" s="24" t="s">
        <v>100</v>
      </c>
      <c r="C12" s="23">
        <f>-SUMIF('BG COMP'!$A:$A,$A12,'BG COMP'!H:H)</f>
        <v>-940331947</v>
      </c>
      <c r="D12" s="23">
        <f>-SUMIF('BG COMP'!$A:$A,$A12,'BG COMP'!I:I)</f>
        <v>-538325504</v>
      </c>
      <c r="E12" s="23">
        <f>-SUMIF('BG COMP'!$A:$A,$A12,'BG COMP'!J:J)</f>
        <v>-781196707</v>
      </c>
      <c r="G12" s="37">
        <f t="shared" si="0"/>
        <v>-8.85358187952755E-2</v>
      </c>
    </row>
    <row r="13" spans="1:7" outlineLevel="1" x14ac:dyDescent="0.3">
      <c r="A13" s="18" t="s">
        <v>103</v>
      </c>
      <c r="B13" s="24" t="s">
        <v>103</v>
      </c>
      <c r="C13" s="23">
        <f>-SUMIF('BG COMP'!$A:$A,$A13,'BG COMP'!H:H)</f>
        <v>-511850731</v>
      </c>
      <c r="D13" s="23">
        <f>-SUMIF('BG COMP'!$A:$A,$A13,'BG COMP'!I:I)</f>
        <v>-441190386</v>
      </c>
      <c r="E13" s="23">
        <f>-SUMIF('BG COMP'!$A:$A,$A13,'BG COMP'!J:J)</f>
        <v>-491928077</v>
      </c>
      <c r="G13" s="37">
        <f t="shared" si="0"/>
        <v>-1.9654541083045762E-2</v>
      </c>
    </row>
    <row r="14" spans="1:7" outlineLevel="1" x14ac:dyDescent="0.3">
      <c r="A14" s="18" t="s">
        <v>105</v>
      </c>
      <c r="B14" s="24" t="s">
        <v>105</v>
      </c>
      <c r="C14" s="23">
        <f>-SUMIF('BG COMP'!$A:$A,$A14,'BG COMP'!H:H)</f>
        <v>-135075701</v>
      </c>
      <c r="D14" s="23">
        <f>-SUMIF('BG COMP'!$A:$A,$A14,'BG COMP'!I:I)</f>
        <v>-135284717</v>
      </c>
      <c r="E14" s="23">
        <f>-SUMIF('BG COMP'!$A:$A,$A14,'BG COMP'!J:J)</f>
        <v>-124252017</v>
      </c>
      <c r="G14" s="37">
        <f t="shared" si="0"/>
        <v>-4.090172766567135E-2</v>
      </c>
    </row>
    <row r="15" spans="1:7" outlineLevel="1" x14ac:dyDescent="0.3">
      <c r="A15" s="18" t="s">
        <v>107</v>
      </c>
      <c r="B15" s="24" t="s">
        <v>107</v>
      </c>
      <c r="C15" s="23">
        <f>-SUMIF('BG COMP'!$A:$A,$A15,'BG COMP'!H:H)</f>
        <v>-2662351</v>
      </c>
      <c r="D15" s="23">
        <f>-SUMIF('BG COMP'!$A:$A,$A15,'BG COMP'!I:I)</f>
        <v>-648607</v>
      </c>
      <c r="E15" s="23">
        <f>-SUMIF('BG COMP'!$A:$A,$A15,'BG COMP'!J:J)</f>
        <v>-371307</v>
      </c>
      <c r="G15" s="37">
        <f t="shared" si="0"/>
        <v>-0.62654875416259526</v>
      </c>
    </row>
    <row r="16" spans="1:7" outlineLevel="1" x14ac:dyDescent="0.3">
      <c r="A16" s="18" t="s">
        <v>109</v>
      </c>
      <c r="B16" s="24" t="s">
        <v>109</v>
      </c>
      <c r="C16" s="23">
        <f>-SUMIF('BG COMP'!$A:$A,$A16,'BG COMP'!H:H)</f>
        <v>-3384500</v>
      </c>
      <c r="D16" s="23">
        <f>-SUMIF('BG COMP'!$A:$A,$A16,'BG COMP'!I:I)</f>
        <v>-3081000</v>
      </c>
      <c r="E16" s="23">
        <f>-SUMIF('BG COMP'!$A:$A,$A16,'BG COMP'!J:J)</f>
        <v>-6470650</v>
      </c>
      <c r="G16" s="37">
        <f t="shared" si="0"/>
        <v>0.38269596484053237</v>
      </c>
    </row>
    <row r="17" spans="1:7" outlineLevel="1" x14ac:dyDescent="0.3">
      <c r="A17" s="18" t="s">
        <v>111</v>
      </c>
      <c r="B17" s="24" t="s">
        <v>111</v>
      </c>
      <c r="C17" s="23">
        <f>-SUMIF('BG COMP'!$A:$A,$A17,'BG COMP'!H:H)</f>
        <v>-33745947</v>
      </c>
      <c r="D17" s="23">
        <f>-SUMIF('BG COMP'!$A:$A,$A17,'BG COMP'!I:I)</f>
        <v>-50470243</v>
      </c>
      <c r="E17" s="23">
        <f>-SUMIF('BG COMP'!$A:$A,$A17,'BG COMP'!J:J)</f>
        <v>-43351625</v>
      </c>
      <c r="G17" s="37">
        <f t="shared" si="0"/>
        <v>0.13342263273994748</v>
      </c>
    </row>
    <row r="18" spans="1:7" outlineLevel="1" x14ac:dyDescent="0.3">
      <c r="A18" s="18" t="s">
        <v>114</v>
      </c>
      <c r="B18" s="24" t="s">
        <v>114</v>
      </c>
      <c r="C18" s="23">
        <f>-SUMIF('BG COMP'!$A:$A,$A18,'BG COMP'!H:H)</f>
        <v>-221129138</v>
      </c>
      <c r="D18" s="23">
        <f>-SUMIF('BG COMP'!$A:$A,$A18,'BG COMP'!I:I)</f>
        <v>-355266320</v>
      </c>
      <c r="E18" s="23">
        <f>-SUMIF('BG COMP'!$A:$A,$A18,'BG COMP'!J:J)</f>
        <v>-232479385</v>
      </c>
      <c r="G18" s="37">
        <f t="shared" si="0"/>
        <v>2.5343157497299762E-2</v>
      </c>
    </row>
    <row r="19" spans="1:7" outlineLevel="1" x14ac:dyDescent="0.3">
      <c r="A19" s="18" t="s">
        <v>116</v>
      </c>
      <c r="B19" s="24" t="s">
        <v>116</v>
      </c>
      <c r="C19" s="23">
        <f>-SUMIF('BG COMP'!$A:$A,$A19,'BG COMP'!H:H)</f>
        <v>-173874723</v>
      </c>
      <c r="D19" s="23">
        <f>-SUMIF('BG COMP'!$A:$A,$A19,'BG COMP'!I:I)</f>
        <v>-198352769</v>
      </c>
      <c r="E19" s="23">
        <f>-SUMIF('BG COMP'!$A:$A,$A19,'BG COMP'!J:J)</f>
        <v>-231766243</v>
      </c>
      <c r="G19" s="37">
        <f t="shared" si="0"/>
        <v>0.15453436632745721</v>
      </c>
    </row>
    <row r="20" spans="1:7" outlineLevel="1" x14ac:dyDescent="0.3">
      <c r="A20" s="18" t="s">
        <v>96</v>
      </c>
      <c r="B20" s="24" t="s">
        <v>96</v>
      </c>
      <c r="C20" s="23">
        <f>-SUMIF('BG COMP'!$A:$A,$A20,'BG COMP'!H:H)</f>
        <v>-759951975</v>
      </c>
      <c r="D20" s="23">
        <f>-SUMIF('BG COMP'!$A:$A,$A20,'BG COMP'!I:I)</f>
        <v>-452904165</v>
      </c>
      <c r="E20" s="23">
        <f>-SUMIF('BG COMP'!$A:$A,$A20,'BG COMP'!J:J)</f>
        <v>-255241663</v>
      </c>
      <c r="G20" s="37">
        <f t="shared" si="0"/>
        <v>-0.42046094434608583</v>
      </c>
    </row>
    <row r="21" spans="1:7" x14ac:dyDescent="0.3">
      <c r="A21" s="18"/>
      <c r="B21" s="21" t="s">
        <v>1541</v>
      </c>
      <c r="C21" s="20">
        <f>C11+C12+C13+C14+C15+C16+C17+C18+C19+C20</f>
        <v>-2782007013</v>
      </c>
      <c r="D21" s="20">
        <f>D11+D12+D13+D14+D15+D16+D17+D18+D19+D20</f>
        <v>-2175523711</v>
      </c>
      <c r="E21" s="20">
        <f>E11+E12+E13+E14+E15+E16+E17+E18+E19+E20</f>
        <v>-2167057674</v>
      </c>
      <c r="G21" s="34">
        <f t="shared" si="0"/>
        <v>-0.11741584834328378</v>
      </c>
    </row>
    <row r="22" spans="1:7" x14ac:dyDescent="0.3">
      <c r="A22" s="18" t="s">
        <v>118</v>
      </c>
      <c r="B22" s="21" t="s">
        <v>118</v>
      </c>
      <c r="C22" s="20">
        <f>-SUMIF('BG COMP'!$A:$A,$A22,'BG COMP'!H:H)</f>
        <v>-194550289</v>
      </c>
      <c r="D22" s="20">
        <f>-SUMIF('BG COMP'!$A:$A,$A22,'BG COMP'!I:I)</f>
        <v>-73860299</v>
      </c>
      <c r="E22" s="20">
        <f>-SUMIF('BG COMP'!$A:$A,$A22,'BG COMP'!J:J)</f>
        <v>-99470939</v>
      </c>
      <c r="G22" s="34">
        <f t="shared" si="0"/>
        <v>-0.28495698472818198</v>
      </c>
    </row>
    <row r="23" spans="1:7" x14ac:dyDescent="0.3">
      <c r="A23" s="18" t="s">
        <v>122</v>
      </c>
      <c r="B23" s="21" t="s">
        <v>122</v>
      </c>
      <c r="C23" s="20">
        <f>-SUMIF('BG COMP'!$A:$A,$A23,'BG COMP'!H:H)</f>
        <v>-1356205593</v>
      </c>
      <c r="D23" s="20">
        <f>-SUMIF('BG COMP'!$A:$A,$A23,'BG COMP'!I:I)</f>
        <v>-1359456222</v>
      </c>
      <c r="E23" s="20">
        <f>-SUMIF('BG COMP'!$A:$A,$A23,'BG COMP'!J:J)</f>
        <v>-1387887823</v>
      </c>
      <c r="G23" s="34">
        <f t="shared" si="0"/>
        <v>1.1613035938338179E-2</v>
      </c>
    </row>
    <row r="24" spans="1:7" x14ac:dyDescent="0.3">
      <c r="A24" s="18" t="s">
        <v>140</v>
      </c>
      <c r="B24" s="21" t="s">
        <v>140</v>
      </c>
      <c r="C24" s="20">
        <f>-SUMIF('BG COMP'!$A:$A,$A24,'BG COMP'!H:H)</f>
        <v>12616990</v>
      </c>
      <c r="D24" s="20">
        <f>-SUMIF('BG COMP'!$A:$A,$A24,'BG COMP'!I:I)</f>
        <v>10487000</v>
      </c>
      <c r="E24" s="20">
        <f>-SUMIF('BG COMP'!$A:$A,$A24,'BG COMP'!J:J)</f>
        <v>15809750</v>
      </c>
      <c r="G24" s="34">
        <f t="shared" si="0"/>
        <v>0.11939824534497423</v>
      </c>
    </row>
    <row r="25" spans="1:7" x14ac:dyDescent="0.3">
      <c r="A25" s="18" t="s">
        <v>120</v>
      </c>
      <c r="B25" s="21" t="s">
        <v>120</v>
      </c>
      <c r="C25" s="20">
        <f>-SUMIF('BG COMP'!$A:$A,$A25,'BG COMP'!H:H)</f>
        <v>-25890895</v>
      </c>
      <c r="D25" s="20">
        <f>-SUMIF('BG COMP'!$A:$A,$A25,'BG COMP'!I:I)</f>
        <v>-142699537</v>
      </c>
      <c r="E25" s="20">
        <f>-SUMIF('BG COMP'!$A:$A,$A25,'BG COMP'!J:J)</f>
        <v>-21435714</v>
      </c>
      <c r="G25" s="34">
        <f t="shared" si="0"/>
        <v>-9.0096270201508344E-2</v>
      </c>
    </row>
    <row r="26" spans="1:7" x14ac:dyDescent="0.3">
      <c r="A26" s="18"/>
      <c r="B26" s="19" t="s">
        <v>1542</v>
      </c>
      <c r="C26" s="27">
        <f>C6+C7+C8+C9+C10+C21+C22+C23+C24+C25</f>
        <v>4326632128</v>
      </c>
      <c r="D26" s="27">
        <f>D6+D7+D8+D9+D10+D21+D22+D23+D24+D25</f>
        <v>3251497017</v>
      </c>
      <c r="E26" s="27">
        <f>E6+E7+E8+E9+E10+E21+E22+E23+E24+E25</f>
        <v>3504300449</v>
      </c>
      <c r="G26" s="36">
        <f t="shared" si="0"/>
        <v>-0.1000348718681765</v>
      </c>
    </row>
    <row r="27" spans="1:7" x14ac:dyDescent="0.3">
      <c r="A27" s="18"/>
      <c r="B27" s="28" t="s">
        <v>1543</v>
      </c>
      <c r="C27" s="29">
        <f>IFERROR(C26/C6,"n.a")</f>
        <v>0.17640361756382117</v>
      </c>
      <c r="D27" s="29">
        <f>IFERROR(D26/D6,"n.a")</f>
        <v>0.16274001570007099</v>
      </c>
      <c r="E27" s="29">
        <f>IFERROR(E26/E6,"n.a")</f>
        <v>0.14353754694563259</v>
      </c>
      <c r="G27" s="36">
        <f>AVERAGE(C27:E27)</f>
        <v>0.16089372673650826</v>
      </c>
    </row>
    <row r="28" spans="1:7" outlineLevel="1" x14ac:dyDescent="0.3">
      <c r="A28" s="18" t="s">
        <v>126</v>
      </c>
      <c r="B28" s="24" t="s">
        <v>126</v>
      </c>
      <c r="C28" s="23">
        <f>-SUMIF('BG COMP'!$A:$A,$A28,'BG COMP'!H:H)</f>
        <v>-1373796342</v>
      </c>
      <c r="D28" s="23">
        <f>-SUMIF('BG COMP'!$A:$A,$A28,'BG COMP'!I:I)</f>
        <v>-915912899</v>
      </c>
      <c r="E28" s="23">
        <f>-SUMIF('BG COMP'!$A:$A,$A28,'BG COMP'!J:J)</f>
        <v>-1059002616</v>
      </c>
      <c r="G28" s="37">
        <f>IFERROR((E28/C28)^(1/2)-1,"n.a")</f>
        <v>-0.12201450994579688</v>
      </c>
    </row>
    <row r="29" spans="1:7" outlineLevel="1" x14ac:dyDescent="0.3">
      <c r="A29" s="18" t="s">
        <v>150</v>
      </c>
      <c r="B29" s="24" t="s">
        <v>150</v>
      </c>
      <c r="C29" s="23">
        <f>-SUMIF('BG COMP'!$A:$A,$A29,'BG COMP'!H:H)</f>
        <v>0</v>
      </c>
      <c r="D29" s="23">
        <f>-SUMIF('BG COMP'!$A:$A,$A29,'BG COMP'!I:I)</f>
        <v>183674280</v>
      </c>
      <c r="E29" s="23">
        <f>-SUMIF('BG COMP'!$A:$A,$A29,'BG COMP'!J:J)</f>
        <v>20063402</v>
      </c>
      <c r="G29" s="37" t="str">
        <f>IFERROR((E29/C29)^(1/2)-1,"n.a")</f>
        <v>n.a</v>
      </c>
    </row>
    <row r="30" spans="1:7" x14ac:dyDescent="0.3">
      <c r="A30" s="18"/>
      <c r="B30" s="21" t="s">
        <v>1544</v>
      </c>
      <c r="C30" s="20">
        <f>C28+C29</f>
        <v>-1373796342</v>
      </c>
      <c r="D30" s="20">
        <f>D28+D29</f>
        <v>-732238619</v>
      </c>
      <c r="E30" s="20">
        <f>E28+E29</f>
        <v>-1038939214</v>
      </c>
      <c r="G30" s="34">
        <f>IFERROR((E30/C30)^(1/2)-1,"n.a")</f>
        <v>-0.13037124519265708</v>
      </c>
    </row>
    <row r="31" spans="1:7" x14ac:dyDescent="0.3">
      <c r="A31" s="18"/>
      <c r="B31" s="19" t="s">
        <v>1545</v>
      </c>
      <c r="C31" s="27">
        <f>C26+C30</f>
        <v>2952835786</v>
      </c>
      <c r="D31" s="27">
        <f>D26+D30</f>
        <v>2519258398</v>
      </c>
      <c r="E31" s="27">
        <f>E26+E30</f>
        <v>2465361235</v>
      </c>
      <c r="G31" s="36">
        <f>IFERROR((E31/C31)^(1/2)-1,"n.a")</f>
        <v>-8.6264214993751809E-2</v>
      </c>
    </row>
    <row r="32" spans="1:7" x14ac:dyDescent="0.3">
      <c r="A32" s="18"/>
      <c r="B32" s="28" t="s">
        <v>1546</v>
      </c>
      <c r="C32" s="29">
        <f>IFERROR(C31/C6,"n.a")</f>
        <v>0.12039177339606472</v>
      </c>
      <c r="D32" s="29">
        <f>IFERROR(D31/D6,"n.a")</f>
        <v>0.12609088955010894</v>
      </c>
      <c r="E32" s="29">
        <f>IFERROR(E31/E6,"n.a")</f>
        <v>0.10098218151007499</v>
      </c>
      <c r="G32" s="36">
        <f>AVERAGE(C32:E32)</f>
        <v>0.11582161481874954</v>
      </c>
    </row>
    <row r="33" spans="1:7" outlineLevel="1" x14ac:dyDescent="0.3">
      <c r="A33" s="18" t="s">
        <v>146</v>
      </c>
      <c r="B33" s="24" t="s">
        <v>146</v>
      </c>
      <c r="C33" s="23">
        <f>-SUMIF('BG COMP'!$A:$A,$A33,'BG COMP'!H:H)</f>
        <v>0</v>
      </c>
      <c r="D33" s="23">
        <f>-SUMIF('BG COMP'!$A:$A,$A33,'BG COMP'!I:I)</f>
        <v>21904110</v>
      </c>
      <c r="E33" s="23">
        <f>-SUMIF('BG COMP'!$A:$A,$A33,'BG COMP'!J:J)</f>
        <v>27920709</v>
      </c>
      <c r="G33" s="37" t="str">
        <f t="shared" ref="G33:G39" si="1">IFERROR((E33/C33)^(1/2)-1,"n.a")</f>
        <v>n.a</v>
      </c>
    </row>
    <row r="34" spans="1:7" outlineLevel="1" x14ac:dyDescent="0.3">
      <c r="A34" s="18" t="s">
        <v>124</v>
      </c>
      <c r="B34" s="24" t="s">
        <v>124</v>
      </c>
      <c r="C34" s="23">
        <f>-SUMIF('BG COMP'!$A:$A,$A34,'BG COMP'!H:H)</f>
        <v>-1010070132</v>
      </c>
      <c r="D34" s="23">
        <f>-SUMIF('BG COMP'!$A:$A,$A34,'BG COMP'!I:I)</f>
        <v>-991618677</v>
      </c>
      <c r="E34" s="23">
        <f>-SUMIF('BG COMP'!$A:$A,$A34,'BG COMP'!J:J)</f>
        <v>-1055921173</v>
      </c>
      <c r="G34" s="37">
        <f t="shared" si="1"/>
        <v>2.2445068573961668E-2</v>
      </c>
    </row>
    <row r="35" spans="1:7" x14ac:dyDescent="0.3">
      <c r="A35" s="18"/>
      <c r="B35" s="21" t="s">
        <v>1547</v>
      </c>
      <c r="C35" s="20">
        <f>C33+C34</f>
        <v>-1010070132</v>
      </c>
      <c r="D35" s="20">
        <f>D33+D34</f>
        <v>-969714567</v>
      </c>
      <c r="E35" s="20">
        <f>E33+E34</f>
        <v>-1028000464</v>
      </c>
      <c r="G35" s="34">
        <f t="shared" si="1"/>
        <v>8.8367416651045083E-3</v>
      </c>
    </row>
    <row r="36" spans="1:7" x14ac:dyDescent="0.3">
      <c r="A36" s="18" t="s">
        <v>153</v>
      </c>
      <c r="B36" s="21" t="s">
        <v>153</v>
      </c>
      <c r="C36" s="20">
        <f>-SUMIF('BG COMP'!$A:$A,$A36,'BG COMP'!H:H)</f>
        <v>-45144123</v>
      </c>
      <c r="D36" s="20">
        <f>-SUMIF('BG COMP'!$A:$A,$A36,'BG COMP'!I:I)</f>
        <v>36465526</v>
      </c>
      <c r="E36" s="20">
        <f>-SUMIF('BG COMP'!$A:$A,$A36,'BG COMP'!J:J)</f>
        <v>2700000</v>
      </c>
      <c r="G36" s="34" t="str">
        <f t="shared" si="1"/>
        <v>n.a</v>
      </c>
    </row>
    <row r="37" spans="1:7" x14ac:dyDescent="0.3">
      <c r="A37" s="18" t="s">
        <v>160</v>
      </c>
      <c r="B37" s="21" t="s">
        <v>160</v>
      </c>
      <c r="C37" s="20">
        <f>-SUMIF('BG COMP'!$A:$A,$A37,'BG COMP'!H:H)</f>
        <v>0</v>
      </c>
      <c r="D37" s="20">
        <f>-SUMIF('BG COMP'!$A:$A,$A37,'BG COMP'!I:I)</f>
        <v>0</v>
      </c>
      <c r="E37" s="20">
        <f>-SUMIF('BG COMP'!$A:$A,$A37,'BG COMP'!J:J)</f>
        <v>0</v>
      </c>
      <c r="G37" s="34" t="str">
        <f t="shared" si="1"/>
        <v>n.a</v>
      </c>
    </row>
    <row r="38" spans="1:7" x14ac:dyDescent="0.3">
      <c r="A38" s="18" t="s">
        <v>163</v>
      </c>
      <c r="B38" s="21" t="s">
        <v>163</v>
      </c>
      <c r="C38" s="20">
        <f>-SUMIF('BG COMP'!$A:$A,$A38,'BG COMP'!H:H)</f>
        <v>0</v>
      </c>
      <c r="D38" s="20">
        <f>-SUMIF('BG COMP'!$A:$A,$A38,'BG COMP'!I:I)</f>
        <v>55306290</v>
      </c>
      <c r="E38" s="20">
        <f>-SUMIF('BG COMP'!$A:$A,$A38,'BG COMP'!J:J)</f>
        <v>0</v>
      </c>
      <c r="G38" s="34" t="str">
        <f t="shared" si="1"/>
        <v>n.a</v>
      </c>
    </row>
    <row r="39" spans="1:7" x14ac:dyDescent="0.3">
      <c r="A39" s="18"/>
      <c r="B39" s="19" t="s">
        <v>1548</v>
      </c>
      <c r="C39" s="27">
        <f>C31+C35+C36+C37+C38</f>
        <v>1897621531</v>
      </c>
      <c r="D39" s="27">
        <f>D31+D35+D36+D37+D38</f>
        <v>1641315647</v>
      </c>
      <c r="E39" s="27">
        <f>E31+E35+E36+E37+E38</f>
        <v>1440060771</v>
      </c>
      <c r="G39" s="36">
        <f t="shared" si="1"/>
        <v>-0.1288647045339042</v>
      </c>
    </row>
    <row r="41" spans="1:7" x14ac:dyDescent="0.3">
      <c r="A41" s="2" t="s">
        <v>1549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showGridLines="0" zoomScale="55" zoomScaleNormal="55" workbookViewId="0">
      <selection activeCell="I6" sqref="I6"/>
    </sheetView>
  </sheetViews>
  <sheetFormatPr baseColWidth="10" defaultColWidth="11.3984375" defaultRowHeight="13" outlineLevelCol="1" x14ac:dyDescent="0.3"/>
  <cols>
    <col min="1" max="1" width="46.8984375" customWidth="1" outlineLevel="1"/>
    <col min="2" max="2" width="2.59765625" customWidth="1"/>
    <col min="3" max="3" width="44" customWidth="1"/>
    <col min="4" max="6" width="9.09765625" bestFit="1" customWidth="1"/>
    <col min="7" max="7" width="3" customWidth="1"/>
    <col min="8" max="8" width="16" customWidth="1"/>
  </cols>
  <sheetData>
    <row r="1" spans="1:6" ht="15.5" x14ac:dyDescent="0.35">
      <c r="A1" s="1" t="s">
        <v>1550</v>
      </c>
      <c r="B1" s="1"/>
    </row>
    <row r="2" spans="1:6" x14ac:dyDescent="0.3">
      <c r="A2" s="2" t="s">
        <v>1551</v>
      </c>
      <c r="B2" s="2"/>
    </row>
    <row r="3" spans="1:6" x14ac:dyDescent="0.3">
      <c r="A3" s="17" t="s">
        <v>165</v>
      </c>
      <c r="B3" s="38"/>
      <c r="C3" s="19" t="s">
        <v>1552</v>
      </c>
      <c r="D3" s="19" t="s">
        <v>172</v>
      </c>
      <c r="E3" s="19" t="s">
        <v>173</v>
      </c>
      <c r="F3" s="19" t="s">
        <v>174</v>
      </c>
    </row>
    <row r="4" spans="1:6" x14ac:dyDescent="0.3">
      <c r="A4" s="18" t="s">
        <v>23</v>
      </c>
      <c r="B4" s="4"/>
      <c r="C4" s="21" t="s">
        <v>23</v>
      </c>
      <c r="D4" s="39">
        <f>SUMIF('BG COMP'!$A:$A,$A4,'BG COMP'!H:H)/1000000</f>
        <v>-37.398705999999997</v>
      </c>
      <c r="E4" s="39">
        <f>SUMIF('BG COMP'!$A:$A,$A4,'BG COMP'!I:I)/1000000</f>
        <v>-46.864666</v>
      </c>
      <c r="F4" s="39">
        <f>SUMIF('BG COMP'!$A:$A,$A4,'BG COMP'!J:J)/1000000</f>
        <v>11.997832000000001</v>
      </c>
    </row>
    <row r="5" spans="1:6" x14ac:dyDescent="0.3">
      <c r="A5" s="18" t="s">
        <v>26</v>
      </c>
      <c r="B5" s="4"/>
      <c r="C5" s="21" t="s">
        <v>26</v>
      </c>
      <c r="D5" s="39">
        <f>SUMIF('BG COMP'!$A:$A,$A5,'BG COMP'!H:H)/1000000</f>
        <v>18401.395224</v>
      </c>
      <c r="E5" s="39">
        <f>SUMIF('BG COMP'!$A:$A,$A5,'BG COMP'!I:I)/1000000</f>
        <v>17917.460955999999</v>
      </c>
      <c r="F5" s="39">
        <f>SUMIF('BG COMP'!$A:$A,$A5,'BG COMP'!J:J)/1000000</f>
        <v>17962.264275000001</v>
      </c>
    </row>
    <row r="6" spans="1:6" ht="13.5" thickBot="1" x14ac:dyDescent="0.35">
      <c r="A6" s="18" t="s">
        <v>31</v>
      </c>
      <c r="B6" s="4"/>
      <c r="C6" s="21" t="s">
        <v>31</v>
      </c>
      <c r="D6" s="39">
        <f>SUMIF('BG COMP'!$A:$A,$A6,'BG COMP'!H:H)/1000000</f>
        <v>38.684396999999997</v>
      </c>
      <c r="E6" s="39">
        <f>SUMIF('BG COMP'!$A:$A,$A6,'BG COMP'!I:I)/1000000</f>
        <v>38.684396999999997</v>
      </c>
      <c r="F6" s="39">
        <f>SUMIF('BG COMP'!$A:$A,$A6,'BG COMP'!J:J)/1000000</f>
        <v>42.384397</v>
      </c>
    </row>
    <row r="7" spans="1:6" x14ac:dyDescent="0.3">
      <c r="A7" s="18"/>
      <c r="B7" s="4"/>
      <c r="C7" s="25" t="s">
        <v>1553</v>
      </c>
      <c r="D7" s="40">
        <f>D4+D5+D6</f>
        <v>18402.680915000001</v>
      </c>
      <c r="E7" s="40">
        <f>E4+E5+E6</f>
        <v>17909.280686999999</v>
      </c>
      <c r="F7" s="40">
        <f>F4+F5+F6</f>
        <v>18016.646504000004</v>
      </c>
    </row>
    <row r="8" spans="1:6" x14ac:dyDescent="0.3">
      <c r="A8" s="18" t="s">
        <v>47</v>
      </c>
      <c r="B8" s="4"/>
      <c r="C8" s="21" t="s">
        <v>47</v>
      </c>
      <c r="D8" s="39">
        <f>SUMIF('BG COMP'!$A:$A,$A8,'BG COMP'!H:H)/1000000</f>
        <v>1219.5628369999999</v>
      </c>
      <c r="E8" s="39">
        <f>SUMIF('BG COMP'!$A:$A,$A8,'BG COMP'!I:I)/1000000</f>
        <v>1017.450216</v>
      </c>
      <c r="F8" s="39">
        <f>SUMIF('BG COMP'!$A:$A,$A8,'BG COMP'!J:J)/1000000</f>
        <v>1123.7431799999999</v>
      </c>
    </row>
    <row r="9" spans="1:6" x14ac:dyDescent="0.3">
      <c r="A9" s="18" t="s">
        <v>53</v>
      </c>
      <c r="B9" s="4"/>
      <c r="C9" s="21" t="s">
        <v>53</v>
      </c>
      <c r="D9" s="39">
        <f>SUMIF('BG COMP'!$A:$A,$A9,'BG COMP'!H:H)/1000000</f>
        <v>4616.8526579999998</v>
      </c>
      <c r="E9" s="39">
        <f>SUMIF('BG COMP'!$A:$A,$A9,'BG COMP'!I:I)/1000000</f>
        <v>1517.6771450000001</v>
      </c>
      <c r="F9" s="39">
        <f>SUMIF('BG COMP'!$A:$A,$A9,'BG COMP'!J:J)/1000000</f>
        <v>1627.0092520000001</v>
      </c>
    </row>
    <row r="10" spans="1:6" x14ac:dyDescent="0.3">
      <c r="A10" s="18" t="s">
        <v>55</v>
      </c>
      <c r="B10" s="4"/>
      <c r="C10" s="21" t="s">
        <v>55</v>
      </c>
      <c r="D10" s="39">
        <f>SUMIF('BG COMP'!$A:$A,$A10,'BG COMP'!H:H)/1000000</f>
        <v>0</v>
      </c>
      <c r="E10" s="39">
        <f>SUMIF('BG COMP'!$A:$A,$A10,'BG COMP'!I:I)/1000000</f>
        <v>0</v>
      </c>
      <c r="F10" s="39">
        <f>SUMIF('BG COMP'!$A:$A,$A10,'BG COMP'!J:J)/1000000</f>
        <v>0</v>
      </c>
    </row>
    <row r="11" spans="1:6" x14ac:dyDescent="0.3">
      <c r="A11" s="18" t="s">
        <v>49</v>
      </c>
      <c r="B11" s="4"/>
      <c r="C11" s="21" t="s">
        <v>49</v>
      </c>
      <c r="D11" s="39">
        <f>SUMIF('BG COMP'!$A:$A,$A11,'BG COMP'!H:H)/1000000</f>
        <v>-782.96347600000001</v>
      </c>
      <c r="E11" s="39">
        <f>SUMIF('BG COMP'!$A:$A,$A11,'BG COMP'!I:I)/1000000</f>
        <v>1367.062005</v>
      </c>
      <c r="F11" s="39">
        <f>SUMIF('BG COMP'!$A:$A,$A11,'BG COMP'!J:J)/1000000</f>
        <v>1984.959284</v>
      </c>
    </row>
    <row r="12" spans="1:6" x14ac:dyDescent="0.3">
      <c r="A12" s="18" t="s">
        <v>51</v>
      </c>
      <c r="B12" s="4"/>
      <c r="C12" s="21" t="s">
        <v>51</v>
      </c>
      <c r="D12" s="39">
        <f>SUMIF('BG COMP'!$A:$A,$A12,'BG COMP'!H:H)/1000000</f>
        <v>11.700004</v>
      </c>
      <c r="E12" s="39">
        <f>SUMIF('BG COMP'!$A:$A,$A12,'BG COMP'!I:I)/1000000</f>
        <v>2.617515</v>
      </c>
      <c r="F12" s="39">
        <f>SUMIF('BG COMP'!$A:$A,$A12,'BG COMP'!J:J)/1000000</f>
        <v>2.3626049999999998</v>
      </c>
    </row>
    <row r="13" spans="1:6" x14ac:dyDescent="0.3">
      <c r="A13" s="18" t="s">
        <v>57</v>
      </c>
      <c r="B13" s="4"/>
      <c r="C13" s="21" t="s">
        <v>57</v>
      </c>
      <c r="D13" s="39">
        <f>SUMIF('BG COMP'!$A:$A,$A13,'BG COMP'!H:H)/1000000</f>
        <v>-66.218254999999999</v>
      </c>
      <c r="E13" s="39">
        <f>SUMIF('BG COMP'!$A:$A,$A13,'BG COMP'!I:I)/1000000</f>
        <v>-113.440746</v>
      </c>
      <c r="F13" s="39">
        <f>SUMIF('BG COMP'!$A:$A,$A13,'BG COMP'!J:J)/1000000</f>
        <v>-128.331614</v>
      </c>
    </row>
    <row r="14" spans="1:6" x14ac:dyDescent="0.3">
      <c r="A14" s="18" t="s">
        <v>60</v>
      </c>
      <c r="B14" s="4"/>
      <c r="C14" s="21" t="s">
        <v>60</v>
      </c>
      <c r="D14" s="39">
        <f>SUMIF('BG COMP'!$A:$A,$A14,'BG COMP'!H:H)/1000000</f>
        <v>-784.44720500000005</v>
      </c>
      <c r="E14" s="39">
        <f>SUMIF('BG COMP'!$A:$A,$A14,'BG COMP'!I:I)/1000000</f>
        <v>-743.56066299999998</v>
      </c>
      <c r="F14" s="39">
        <f>SUMIF('BG COMP'!$A:$A,$A14,'BG COMP'!J:J)/1000000</f>
        <v>-487.518213</v>
      </c>
    </row>
    <row r="15" spans="1:6" x14ac:dyDescent="0.3">
      <c r="A15" s="18" t="s">
        <v>64</v>
      </c>
      <c r="B15" s="4"/>
      <c r="C15" s="21" t="s">
        <v>64</v>
      </c>
      <c r="D15" s="39">
        <f>SUMIF('BG COMP'!$A:$A,$A15,'BG COMP'!H:H)/1000000</f>
        <v>1638.3127689999999</v>
      </c>
      <c r="E15" s="39">
        <f>SUMIF('BG COMP'!$A:$A,$A15,'BG COMP'!I:I)/1000000</f>
        <v>2217.6935149999999</v>
      </c>
      <c r="F15" s="39">
        <f>SUMIF('BG COMP'!$A:$A,$A15,'BG COMP'!J:J)/1000000</f>
        <v>3868.4592739999998</v>
      </c>
    </row>
    <row r="16" spans="1:6" ht="13.5" thickBot="1" x14ac:dyDescent="0.35">
      <c r="A16" s="18" t="s">
        <v>62</v>
      </c>
      <c r="B16" s="4"/>
      <c r="C16" s="21" t="s">
        <v>62</v>
      </c>
      <c r="D16" s="39">
        <f>SUMIF('BG COMP'!$A:$A,$A16,'BG COMP'!H:H)/1000000</f>
        <v>-16.319042</v>
      </c>
      <c r="E16" s="39">
        <f>SUMIF('BG COMP'!$A:$A,$A16,'BG COMP'!I:I)/1000000</f>
        <v>-17.297635</v>
      </c>
      <c r="F16" s="39">
        <f>SUMIF('BG COMP'!$A:$A,$A16,'BG COMP'!J:J)/1000000</f>
        <v>-15.238435000000001</v>
      </c>
    </row>
    <row r="17" spans="1:6" x14ac:dyDescent="0.3">
      <c r="A17" s="18"/>
      <c r="B17" s="4"/>
      <c r="C17" s="25" t="s">
        <v>1554</v>
      </c>
      <c r="D17" s="40">
        <f>D8+D9+D10+D11+D12+D13+D14+D15+D16</f>
        <v>5836.4802899999995</v>
      </c>
      <c r="E17" s="40">
        <f>E8+E9+E10+E11+E12+E13+E14+E15+E16</f>
        <v>5248.2013519999991</v>
      </c>
      <c r="F17" s="40">
        <f>F8+F9+F10+F11+F12+F13+F14+F15+F16</f>
        <v>7975.4453329999997</v>
      </c>
    </row>
    <row r="18" spans="1:6" x14ac:dyDescent="0.3">
      <c r="A18" s="18" t="s">
        <v>72</v>
      </c>
      <c r="B18" s="4"/>
      <c r="C18" s="21" t="s">
        <v>72</v>
      </c>
      <c r="D18" s="39">
        <f>SUMIF('BG COMP'!$A:$A,$A18,'BG COMP'!H:H)/1000000</f>
        <v>-575.551695</v>
      </c>
      <c r="E18" s="39">
        <f>SUMIF('BG COMP'!$A:$A,$A18,'BG COMP'!I:I)/1000000</f>
        <v>862.52869199999998</v>
      </c>
      <c r="F18" s="39">
        <f>SUMIF('BG COMP'!$A:$A,$A18,'BG COMP'!J:J)/1000000</f>
        <v>-1105.5612289999999</v>
      </c>
    </row>
    <row r="19" spans="1:6" ht="13.5" thickBot="1" x14ac:dyDescent="0.35">
      <c r="A19" s="18" t="s">
        <v>79</v>
      </c>
      <c r="B19" s="4"/>
      <c r="C19" s="21" t="s">
        <v>79</v>
      </c>
      <c r="D19" s="39">
        <f>SUMIF('BG COMP'!$A:$A,$A19,'BG COMP'!H:H)/1000000</f>
        <v>-3712.1713599999998</v>
      </c>
      <c r="E19" s="39">
        <f>SUMIF('BG COMP'!$A:$A,$A19,'BG COMP'!I:I)/1000000</f>
        <v>-712.75</v>
      </c>
      <c r="F19" s="39">
        <f>SUMIF('BG COMP'!$A:$A,$A19,'BG COMP'!J:J)/1000000</f>
        <v>-967.51369999999997</v>
      </c>
    </row>
    <row r="20" spans="1:6" x14ac:dyDescent="0.3">
      <c r="A20" s="18"/>
      <c r="B20" s="4"/>
      <c r="C20" s="25" t="s">
        <v>1555</v>
      </c>
      <c r="D20" s="40">
        <f>D18+D19</f>
        <v>-4287.7230549999995</v>
      </c>
      <c r="E20" s="40">
        <f>E18+E19</f>
        <v>149.77869199999998</v>
      </c>
      <c r="F20" s="40">
        <f>F18+F19</f>
        <v>-2073.0749289999999</v>
      </c>
    </row>
    <row r="21" spans="1:6" x14ac:dyDescent="0.3">
      <c r="A21" s="18" t="s">
        <v>16</v>
      </c>
      <c r="B21" s="4"/>
      <c r="C21" s="21" t="s">
        <v>16</v>
      </c>
      <c r="D21" s="39">
        <f>SUMIF('BG COMP'!$A:$A,$A21,'BG COMP'!H:H)/1000000</f>
        <v>-12536.741582000001</v>
      </c>
      <c r="E21" s="39">
        <f>SUMIF('BG COMP'!$A:$A,$A21,'BG COMP'!I:I)/1000000</f>
        <v>-15073.61807</v>
      </c>
      <c r="F21" s="39">
        <f>SUMIF('BG COMP'!$A:$A,$A21,'BG COMP'!J:J)/1000000</f>
        <v>-13746.804109000001</v>
      </c>
    </row>
    <row r="22" spans="1:6" ht="13.5" thickBot="1" x14ac:dyDescent="0.35">
      <c r="A22" s="18" t="s">
        <v>18</v>
      </c>
      <c r="B22" s="4"/>
      <c r="C22" s="21" t="s">
        <v>18</v>
      </c>
      <c r="D22" s="39">
        <f>SUMIF('BG COMP'!$A:$A,$A22,'BG COMP'!H:H)/1000000</f>
        <v>-167.79814999999999</v>
      </c>
      <c r="E22" s="39">
        <f>SUMIF('BG COMP'!$A:$A,$A22,'BG COMP'!I:I)/1000000</f>
        <v>-81.427229999999994</v>
      </c>
      <c r="F22" s="39">
        <f>SUMIF('BG COMP'!$A:$A,$A22,'BG COMP'!J:J)/1000000</f>
        <v>9.9999999999999995E-7</v>
      </c>
    </row>
    <row r="23" spans="1:6" x14ac:dyDescent="0.3">
      <c r="A23" s="18"/>
      <c r="B23" s="4"/>
      <c r="C23" s="25" t="s">
        <v>1556</v>
      </c>
      <c r="D23" s="40">
        <f>D21+D22</f>
        <v>-12704.539732000001</v>
      </c>
      <c r="E23" s="40">
        <f>E21+E22</f>
        <v>-15155.0453</v>
      </c>
      <c r="F23" s="40">
        <f>F21+F22</f>
        <v>-13746.804108</v>
      </c>
    </row>
    <row r="24" spans="1:6" ht="13.5" thickBot="1" x14ac:dyDescent="0.35">
      <c r="A24" s="18" t="s">
        <v>21</v>
      </c>
      <c r="B24" s="4"/>
      <c r="C24" s="21" t="s">
        <v>21</v>
      </c>
      <c r="D24" s="39">
        <f>SUMIF('BG COMP'!$A:$A,$A24,'BG COMP'!H:H)/1000000</f>
        <v>-240.85634300000001</v>
      </c>
      <c r="E24" s="39">
        <f>SUMIF('BG COMP'!$A:$A,$A24,'BG COMP'!I:I)/1000000</f>
        <v>-104.857709</v>
      </c>
      <c r="F24" s="39">
        <f>SUMIF('BG COMP'!$A:$A,$A24,'BG COMP'!J:J)/1000000</f>
        <v>-84.794307000000003</v>
      </c>
    </row>
    <row r="25" spans="1:6" x14ac:dyDescent="0.3">
      <c r="A25" s="18"/>
      <c r="B25" s="4"/>
      <c r="C25" s="25" t="s">
        <v>1557</v>
      </c>
      <c r="D25" s="40">
        <f>D20+D23+D24</f>
        <v>-17233.119129999999</v>
      </c>
      <c r="E25" s="40">
        <f>E20+E23+E24</f>
        <v>-15110.124317</v>
      </c>
      <c r="F25" s="40">
        <f>F20+F23+F24</f>
        <v>-15904.673344000001</v>
      </c>
    </row>
    <row r="26" spans="1:6" x14ac:dyDescent="0.3">
      <c r="A26" s="18" t="s">
        <v>70</v>
      </c>
      <c r="B26" s="4"/>
      <c r="C26" s="21" t="s">
        <v>70</v>
      </c>
      <c r="D26" s="39">
        <f>SUMIF('BG COMP'!$A:$A,$A26,'BG COMP'!H:H)/1000000</f>
        <v>-8.6237519999999996</v>
      </c>
      <c r="E26" s="39">
        <f>SUMIF('BG COMP'!$A:$A,$A26,'BG COMP'!I:I)/1000000</f>
        <v>-8.6237519999999996</v>
      </c>
      <c r="F26" s="39">
        <f>SUMIF('BG COMP'!$A:$A,$A26,'BG COMP'!J:J)/1000000</f>
        <v>-8.6237519999999996</v>
      </c>
    </row>
    <row r="27" spans="1:6" x14ac:dyDescent="0.3">
      <c r="A27" s="18"/>
      <c r="B27" s="4"/>
      <c r="C27" s="19" t="s">
        <v>5</v>
      </c>
      <c r="D27" s="43">
        <f>D7+D17+D25+D26</f>
        <v>6997.4183230000008</v>
      </c>
      <c r="E27" s="43">
        <f>E7+E17+E25+E26</f>
        <v>8038.7339699999984</v>
      </c>
      <c r="F27" s="43">
        <f>F7+F17+F25+F26</f>
        <v>10078.794741000003</v>
      </c>
    </row>
    <row r="28" spans="1:6" x14ac:dyDescent="0.3">
      <c r="A28" s="18" t="s">
        <v>4</v>
      </c>
      <c r="B28" s="4"/>
      <c r="C28" s="21" t="s">
        <v>4</v>
      </c>
      <c r="D28" s="39">
        <f>-SUMIF('BG COMP'!$A:$A,$A28,'BG COMP'!H:H)/1000000</f>
        <v>5988.0253409999996</v>
      </c>
      <c r="E28" s="39">
        <f>-SUMIF('BG COMP'!$A:$A,$A28,'BG COMP'!I:I)/1000000</f>
        <v>5988.0253409999996</v>
      </c>
      <c r="F28" s="39">
        <f>-SUMIF('BG COMP'!$A:$A,$A28,'BG COMP'!J:J)/1000000</f>
        <v>5988.0253409999996</v>
      </c>
    </row>
    <row r="29" spans="1:6" x14ac:dyDescent="0.3">
      <c r="A29" s="18" t="s">
        <v>7</v>
      </c>
      <c r="B29" s="4"/>
      <c r="C29" s="21" t="s">
        <v>7</v>
      </c>
      <c r="D29" s="39">
        <f>-SUMIF('BG COMP'!$A:$A,$A29,'BG COMP'!H:H)/1000000</f>
        <v>0</v>
      </c>
      <c r="E29" s="39">
        <f>-SUMIF('BG COMP'!$A:$A,$A29,'BG COMP'!I:I)/1000000</f>
        <v>0</v>
      </c>
      <c r="F29" s="39">
        <f>-SUMIF('BG COMP'!$A:$A,$A29,'BG COMP'!J:J)/1000000</f>
        <v>0</v>
      </c>
    </row>
    <row r="30" spans="1:6" x14ac:dyDescent="0.3">
      <c r="A30" s="18" t="s">
        <v>9</v>
      </c>
      <c r="B30" s="4"/>
      <c r="C30" s="21" t="s">
        <v>9</v>
      </c>
      <c r="D30" s="39">
        <f>-SUMIF('BG COMP'!$A:$A,$A30,'BG COMP'!H:H)/1000000</f>
        <v>-889.04517199999998</v>
      </c>
      <c r="E30" s="39">
        <f>-SUMIF('BG COMP'!$A:$A,$A30,'BG COMP'!I:I)/1000000</f>
        <v>409.39298200000002</v>
      </c>
      <c r="F30" s="39">
        <f>-SUMIF('BG COMP'!$A:$A,$A30,'BG COMP'!J:J)/1000000</f>
        <v>2650.7086290000002</v>
      </c>
    </row>
    <row r="31" spans="1:6" x14ac:dyDescent="0.3">
      <c r="A31" s="18" t="s">
        <v>11</v>
      </c>
      <c r="B31" s="4"/>
      <c r="C31" s="21" t="s">
        <v>11</v>
      </c>
      <c r="D31" s="39">
        <f>-SUMIF('BG COMP'!$A:$A,$A31,'BG COMP'!H:H)/1000000</f>
        <v>0</v>
      </c>
      <c r="E31" s="39">
        <f>-SUMIF('BG COMP'!$A:$A,$A31,'BG COMP'!I:I)/1000000</f>
        <v>0</v>
      </c>
      <c r="F31" s="39">
        <f>-SUMIF('BG COMP'!$A:$A,$A31,'BG COMP'!J:J)/1000000</f>
        <v>0</v>
      </c>
    </row>
    <row r="32" spans="1:6" x14ac:dyDescent="0.3">
      <c r="A32" s="18" t="s">
        <v>13</v>
      </c>
      <c r="B32" s="4"/>
      <c r="C32" s="21" t="s">
        <v>13</v>
      </c>
      <c r="D32" s="39">
        <f>-SUMIF('BG COMP'!$A:$A,$A32,'BG COMP'!H:H)/1000000</f>
        <v>0</v>
      </c>
      <c r="E32" s="39">
        <f>-SUMIF('BG COMP'!$A:$A,$A32,'BG COMP'!I:I)/1000000</f>
        <v>0</v>
      </c>
      <c r="F32" s="39">
        <f>-SUMIF('BG COMP'!$A:$A,$A32,'BG COMP'!J:J)/1000000</f>
        <v>0</v>
      </c>
    </row>
    <row r="33" spans="1:6" x14ac:dyDescent="0.3">
      <c r="A33" s="18"/>
      <c r="B33" s="4"/>
      <c r="C33" s="21" t="s">
        <v>1558</v>
      </c>
      <c r="D33" s="39">
        <f>'P&amp;L'!C39/1000000</f>
        <v>1897.621531</v>
      </c>
      <c r="E33" s="39">
        <f>'P&amp;L'!D39/1000000</f>
        <v>1641.3156469999999</v>
      </c>
      <c r="F33" s="39">
        <f>'P&amp;L'!E39/1000000</f>
        <v>1440.0607709999999</v>
      </c>
    </row>
    <row r="34" spans="1:6" x14ac:dyDescent="0.3">
      <c r="A34" s="18"/>
      <c r="B34" s="4"/>
      <c r="C34" s="19" t="s">
        <v>1559</v>
      </c>
      <c r="D34" s="43">
        <f>D28+D29+D30+D31+D32+D33</f>
        <v>6996.6016999999993</v>
      </c>
      <c r="E34" s="43">
        <f>E28+E29+E30+E31+E32+E33</f>
        <v>8038.7339699999993</v>
      </c>
      <c r="F34" s="43">
        <f>F28+F29+F30+F31+F32+F33</f>
        <v>10078.794741</v>
      </c>
    </row>
    <row r="35" spans="1:6" x14ac:dyDescent="0.3">
      <c r="A35" s="21"/>
      <c r="B35" s="4"/>
      <c r="C35" s="41" t="s">
        <v>1560</v>
      </c>
      <c r="D35" s="42">
        <f>D27-D34</f>
        <v>0.81662300000152754</v>
      </c>
      <c r="E35" s="42">
        <f>E27-E34</f>
        <v>0</v>
      </c>
      <c r="F35" s="42">
        <f>F27-F34</f>
        <v>0</v>
      </c>
    </row>
    <row r="37" spans="1:6" x14ac:dyDescent="0.3">
      <c r="A37" s="2" t="s">
        <v>1549</v>
      </c>
      <c r="B3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BE03-0FD0-4CB6-8F6D-8281317D89D4}">
  <sheetPr>
    <tabColor rgb="FF0070C0"/>
  </sheetPr>
  <dimension ref="A1"/>
  <sheetViews>
    <sheetView showGridLines="0" view="pageBreakPreview" zoomScale="60" zoomScaleNormal="100" workbookViewId="0">
      <selection sqref="A1:XFD1048576"/>
    </sheetView>
  </sheetViews>
  <sheetFormatPr baseColWidth="10" defaultColWidth="11.3984375" defaultRowHeight="13" x14ac:dyDescent="0.3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49"/>
  <sheetViews>
    <sheetView showGridLines="0" topLeftCell="A11" zoomScale="101" workbookViewId="0">
      <selection activeCell="E51" sqref="E51"/>
    </sheetView>
  </sheetViews>
  <sheetFormatPr baseColWidth="10" defaultColWidth="11.3984375" defaultRowHeight="13" x14ac:dyDescent="0.3"/>
  <cols>
    <col min="1" max="1" width="2.3984375" customWidth="1"/>
    <col min="2" max="2" width="46" customWidth="1"/>
    <col min="3" max="7" width="13" customWidth="1"/>
    <col min="9" max="9" width="10.09765625" customWidth="1"/>
    <col min="10" max="10" width="6.8984375" customWidth="1"/>
    <col min="12" max="12" width="7" customWidth="1"/>
  </cols>
  <sheetData>
    <row r="1" spans="2:7" ht="15.5" x14ac:dyDescent="0.35">
      <c r="B1" s="1" t="s">
        <v>1561</v>
      </c>
    </row>
    <row r="2" spans="2:7" x14ac:dyDescent="0.3">
      <c r="B2" s="2" t="s">
        <v>1562</v>
      </c>
    </row>
    <row r="4" spans="2:7" x14ac:dyDescent="0.3">
      <c r="B4" s="19" t="s">
        <v>1563</v>
      </c>
      <c r="C4" s="19"/>
    </row>
    <row r="5" spans="2:7" x14ac:dyDescent="0.3">
      <c r="B5" s="21" t="s">
        <v>1564</v>
      </c>
      <c r="C5" s="45">
        <v>0.121428580052</v>
      </c>
    </row>
    <row r="6" spans="2:7" x14ac:dyDescent="0.3">
      <c r="B6" s="21" t="s">
        <v>1565</v>
      </c>
      <c r="C6" s="45">
        <v>0.02</v>
      </c>
    </row>
    <row r="7" spans="2:7" x14ac:dyDescent="0.3">
      <c r="B7" s="21" t="s">
        <v>1566</v>
      </c>
      <c r="C7" s="45">
        <v>0.25</v>
      </c>
    </row>
    <row r="8" spans="2:7" x14ac:dyDescent="0.3">
      <c r="B8" s="21" t="s">
        <v>1567</v>
      </c>
      <c r="C8" s="46">
        <v>15904.673344000001</v>
      </c>
    </row>
    <row r="9" spans="2:7" x14ac:dyDescent="0.3">
      <c r="B9" s="21" t="s">
        <v>1568</v>
      </c>
      <c r="C9" s="46">
        <v>24413.824282000001</v>
      </c>
    </row>
    <row r="10" spans="2:7" x14ac:dyDescent="0.3">
      <c r="B10" s="21" t="s">
        <v>1569</v>
      </c>
      <c r="C10" s="45">
        <v>0.14399999999999999</v>
      </c>
    </row>
    <row r="11" spans="2:7" x14ac:dyDescent="0.3">
      <c r="B11" s="21" t="s">
        <v>1570</v>
      </c>
      <c r="C11" s="45">
        <v>4.2999999999999997E-2</v>
      </c>
    </row>
    <row r="12" spans="2:7" x14ac:dyDescent="0.3">
      <c r="B12" s="21" t="s">
        <v>1571</v>
      </c>
      <c r="C12" s="45">
        <v>0.32700000000000001</v>
      </c>
    </row>
    <row r="14" spans="2:7" x14ac:dyDescent="0.3">
      <c r="B14" s="19" t="s">
        <v>1572</v>
      </c>
      <c r="C14" s="33" t="s">
        <v>1573</v>
      </c>
      <c r="D14" s="33" t="s">
        <v>1574</v>
      </c>
      <c r="E14" s="33" t="s">
        <v>1575</v>
      </c>
      <c r="F14" s="33" t="s">
        <v>1576</v>
      </c>
      <c r="G14" s="33" t="s">
        <v>1577</v>
      </c>
    </row>
    <row r="15" spans="2:7" x14ac:dyDescent="0.3">
      <c r="B15" s="21" t="s">
        <v>1578</v>
      </c>
      <c r="C15" s="48">
        <v>-2E-3</v>
      </c>
      <c r="D15" s="48">
        <v>-2E-3</v>
      </c>
      <c r="E15" s="48">
        <v>-2E-3</v>
      </c>
      <c r="F15" s="48">
        <v>-2E-3</v>
      </c>
      <c r="G15" s="48">
        <v>-2E-3</v>
      </c>
    </row>
    <row r="16" spans="2:7" x14ac:dyDescent="0.3">
      <c r="B16" s="21" t="s">
        <v>1540</v>
      </c>
      <c r="C16" s="39">
        <f>$C$9*(1+C15)</f>
        <v>24364.996633436</v>
      </c>
      <c r="D16" s="39">
        <f>C16*(1+D15)</f>
        <v>24316.266640169128</v>
      </c>
      <c r="E16" s="39">
        <f>D16*(1+E15)</f>
        <v>24267.634106888789</v>
      </c>
      <c r="F16" s="39">
        <f>E16*(1+F15)</f>
        <v>24219.09883867501</v>
      </c>
      <c r="G16" s="39">
        <f>F16*(1+G15)</f>
        <v>24170.660640997659</v>
      </c>
    </row>
    <row r="17" spans="2:7" x14ac:dyDescent="0.3">
      <c r="B17" s="21" t="s">
        <v>1542</v>
      </c>
      <c r="C17" s="39">
        <f>C16*$C$10</f>
        <v>3508.5595152147839</v>
      </c>
      <c r="D17" s="39">
        <f>D16*$C$10</f>
        <v>3501.5423961843539</v>
      </c>
      <c r="E17" s="39">
        <f>E16*$C$10</f>
        <v>3494.5393113919854</v>
      </c>
      <c r="F17" s="39">
        <f>F16*$C$10</f>
        <v>3487.5502327692011</v>
      </c>
      <c r="G17" s="39">
        <f>G16*$C$10</f>
        <v>3480.5751323036625</v>
      </c>
    </row>
    <row r="18" spans="2:7" x14ac:dyDescent="0.3">
      <c r="B18" s="21" t="s">
        <v>1544</v>
      </c>
      <c r="C18" s="39">
        <f>C16*$C$11</f>
        <v>1047.694855237748</v>
      </c>
      <c r="D18" s="39">
        <f>D16*$C$11</f>
        <v>1045.5994655272725</v>
      </c>
      <c r="E18" s="39">
        <f>E16*$C$11</f>
        <v>1043.5082665962179</v>
      </c>
      <c r="F18" s="39">
        <f>F16*$C$11</f>
        <v>1041.4212500630254</v>
      </c>
      <c r="G18" s="39">
        <f>G16*$C$11</f>
        <v>1039.3384075628992</v>
      </c>
    </row>
    <row r="19" spans="2:7" x14ac:dyDescent="0.3">
      <c r="B19" s="30" t="s">
        <v>1545</v>
      </c>
      <c r="C19" s="47">
        <f>C17-C18</f>
        <v>2460.8646599770359</v>
      </c>
      <c r="D19" s="47">
        <f>D17-D18</f>
        <v>2455.9429306570814</v>
      </c>
      <c r="E19" s="47">
        <f>E17-E18</f>
        <v>2451.0310447957672</v>
      </c>
      <c r="F19" s="47">
        <f>F17-F18</f>
        <v>2446.1289827061755</v>
      </c>
      <c r="G19" s="47">
        <f>G17-G18</f>
        <v>2441.2367247407633</v>
      </c>
    </row>
    <row r="20" spans="2:7" x14ac:dyDescent="0.3">
      <c r="B20" s="21" t="s">
        <v>1579</v>
      </c>
      <c r="C20" s="39">
        <v>1047.7</v>
      </c>
      <c r="D20" s="39">
        <v>1045.5999999999999</v>
      </c>
      <c r="E20" s="39">
        <v>1043.5</v>
      </c>
      <c r="F20" s="39">
        <v>1041.4000000000001</v>
      </c>
      <c r="G20" s="39">
        <v>1039.3</v>
      </c>
    </row>
    <row r="21" spans="2:7" x14ac:dyDescent="0.3">
      <c r="B21" s="21" t="s">
        <v>1580</v>
      </c>
      <c r="C21" s="49">
        <f>-$C$12*(C16-$C$9)</f>
        <v>15.966641080428563</v>
      </c>
      <c r="D21" s="49">
        <f>-$C$12*(D16-C16)</f>
        <v>15.934707798267159</v>
      </c>
      <c r="E21" s="49">
        <f>-$C$12*(E16-D16)</f>
        <v>15.902838382670845</v>
      </c>
      <c r="F21" s="49">
        <f>-$C$12*(F16-E16)</f>
        <v>15.871032705905465</v>
      </c>
      <c r="G21" s="49">
        <f>-$C$12*(G16-F16)</f>
        <v>15.83929064049382</v>
      </c>
    </row>
    <row r="23" spans="2:7" x14ac:dyDescent="0.3">
      <c r="B23" t="s">
        <v>1581</v>
      </c>
      <c r="C23" s="6">
        <f>-MAX(0,C19)*$C$7</f>
        <v>-615.21616499425897</v>
      </c>
      <c r="D23" s="6">
        <f>-MAX(0,D19)*$C$7</f>
        <v>-613.98573266427036</v>
      </c>
      <c r="E23" s="6">
        <f>-MAX(0,E19)*$C$7</f>
        <v>-612.75776119894181</v>
      </c>
      <c r="F23" s="6">
        <f>-MAX(0,F19)*$C$7</f>
        <v>-611.53224567654388</v>
      </c>
      <c r="G23" s="6">
        <f>-MAX(0,G19)*$C$7</f>
        <v>-610.30918118519082</v>
      </c>
    </row>
    <row r="24" spans="2:7" x14ac:dyDescent="0.3">
      <c r="B24" s="30" t="s">
        <v>1582</v>
      </c>
      <c r="C24" s="47">
        <f>C19+C23</f>
        <v>1845.6484949827768</v>
      </c>
      <c r="D24" s="47">
        <f>D19+D23</f>
        <v>1841.957197992811</v>
      </c>
      <c r="E24" s="47">
        <f>E19+E23</f>
        <v>1838.2732835968254</v>
      </c>
      <c r="F24" s="47">
        <f>F19+F23</f>
        <v>1834.5967370296316</v>
      </c>
      <c r="G24" s="47">
        <f>G19+G23</f>
        <v>1830.9275435555724</v>
      </c>
    </row>
    <row r="25" spans="2:7" x14ac:dyDescent="0.3">
      <c r="B25" s="8" t="s">
        <v>1583</v>
      </c>
      <c r="C25" s="9">
        <f>C24+C18-C20+C21</f>
        <v>1861.6099913009534</v>
      </c>
      <c r="D25" s="9">
        <f>D24+D18-D20+D21</f>
        <v>1857.8913713183508</v>
      </c>
      <c r="E25" s="9">
        <f>E24+E18-E20+E21</f>
        <v>1854.1843885757144</v>
      </c>
      <c r="F25" s="9">
        <f>F24+F18-F20+F21</f>
        <v>1850.4890197985621</v>
      </c>
      <c r="G25" s="9">
        <f>G24+G18-G20+G21</f>
        <v>1846.8052417589654</v>
      </c>
    </row>
    <row r="26" spans="2:7" x14ac:dyDescent="0.3">
      <c r="B26" s="24" t="s">
        <v>1584</v>
      </c>
      <c r="C26" s="23">
        <v>1</v>
      </c>
      <c r="D26" s="23">
        <v>2</v>
      </c>
      <c r="E26" s="23">
        <v>3</v>
      </c>
      <c r="F26" s="23">
        <v>4</v>
      </c>
      <c r="G26" s="23">
        <v>5</v>
      </c>
    </row>
    <row r="27" spans="2:7" x14ac:dyDescent="0.3">
      <c r="B27" s="24" t="s">
        <v>1585</v>
      </c>
      <c r="C27" s="51">
        <f>1/(1+$C$5)^C26</f>
        <v>0.89171973836588903</v>
      </c>
      <c r="D27" s="51">
        <f>1/(1+$C$5)^D26</f>
        <v>0.79516409179132963</v>
      </c>
      <c r="E27" s="51">
        <f>1/(1+$C$5)^E26</f>
        <v>0.70906351589011429</v>
      </c>
      <c r="F27" s="51">
        <f>1/(1+$C$5)^F26</f>
        <v>0.6322859328743301</v>
      </c>
      <c r="G27" s="51">
        <f>1/(1+$C$5)^G26</f>
        <v>0.5638218466351298</v>
      </c>
    </row>
    <row r="28" spans="2:7" x14ac:dyDescent="0.3">
      <c r="B28" s="8" t="s">
        <v>1586</v>
      </c>
      <c r="C28" s="9">
        <f>C25*C27</f>
        <v>1660.0343743822111</v>
      </c>
      <c r="D28" s="9">
        <f>D25*D27</f>
        <v>1477.3285049213043</v>
      </c>
      <c r="E28" s="9">
        <f>E25*E27</f>
        <v>1314.7345016720578</v>
      </c>
      <c r="F28" s="9">
        <f>F25*F27</f>
        <v>1170.0381761570386</v>
      </c>
      <c r="G28" s="9">
        <f>G25*G27</f>
        <v>1041.2691417839771</v>
      </c>
    </row>
    <row r="29" spans="2:7" x14ac:dyDescent="0.3">
      <c r="B29" s="56" t="s">
        <v>1587</v>
      </c>
      <c r="G29" s="6">
        <f>SUM(C28:G28)</f>
        <v>6663.404698916589</v>
      </c>
    </row>
    <row r="30" spans="2:7" x14ac:dyDescent="0.3">
      <c r="B30" s="24" t="s">
        <v>1588</v>
      </c>
      <c r="C30" s="22"/>
      <c r="D30" s="22"/>
      <c r="E30" s="22"/>
      <c r="F30" s="22"/>
      <c r="G30" s="44">
        <f>G25*(1+$C$6)/($C$5-$C$6)</f>
        <v>18572.096204328169</v>
      </c>
    </row>
    <row r="31" spans="2:7" x14ac:dyDescent="0.3">
      <c r="B31" s="53" t="s">
        <v>1589</v>
      </c>
      <c r="C31" s="53"/>
      <c r="D31" s="53"/>
      <c r="E31" s="53"/>
      <c r="F31" s="53"/>
      <c r="G31" s="53">
        <f>G30*G27</f>
        <v>10471.353577809594</v>
      </c>
    </row>
    <row r="32" spans="2:7" x14ac:dyDescent="0.3">
      <c r="B32" s="19" t="s">
        <v>1590</v>
      </c>
      <c r="C32" s="19"/>
      <c r="D32" s="19"/>
      <c r="E32" s="19"/>
      <c r="F32" s="19"/>
      <c r="G32" s="43">
        <f>G29+G31</f>
        <v>17134.758276726185</v>
      </c>
    </row>
    <row r="34" spans="2:11" x14ac:dyDescent="0.3">
      <c r="B34" t="s">
        <v>1591</v>
      </c>
      <c r="C34" s="14">
        <f>IFERROR(G31/G32,"n.a")</f>
        <v>0.61111767138452333</v>
      </c>
    </row>
    <row r="35" spans="2:11" x14ac:dyDescent="0.3">
      <c r="B35" t="s">
        <v>1592</v>
      </c>
      <c r="C35" s="6">
        <f>$C$8</f>
        <v>15904.673344000001</v>
      </c>
    </row>
    <row r="36" spans="2:11" x14ac:dyDescent="0.3">
      <c r="B36" s="8" t="s">
        <v>1593</v>
      </c>
      <c r="C36" s="9">
        <f>G32-C35</f>
        <v>1230.084932726184</v>
      </c>
    </row>
    <row r="39" spans="2:11" x14ac:dyDescent="0.3">
      <c r="B39" s="57" t="s">
        <v>1594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3">
      <c r="B40" s="58"/>
      <c r="C40" s="59"/>
      <c r="D40" s="60">
        <v>486157419347.76001</v>
      </c>
      <c r="E40" s="61">
        <v>1.4E-2</v>
      </c>
      <c r="F40" s="61">
        <v>1.7000000000000001E-2</v>
      </c>
      <c r="G40" s="61">
        <v>0.02</v>
      </c>
      <c r="H40" s="61">
        <v>2.3E-2</v>
      </c>
      <c r="I40" s="62">
        <v>2.5999999999999999E-2</v>
      </c>
      <c r="J40" s="52"/>
      <c r="K40" s="52"/>
    </row>
    <row r="41" spans="2:11" x14ac:dyDescent="0.3">
      <c r="B41" s="86" t="s">
        <v>1595</v>
      </c>
      <c r="C41" s="87"/>
      <c r="D41" s="63">
        <v>0.10299999999999999</v>
      </c>
      <c r="E41" s="64">
        <v>603873</v>
      </c>
      <c r="F41" s="64">
        <v>620698</v>
      </c>
      <c r="G41" s="64">
        <v>638746</v>
      </c>
      <c r="H41" s="64">
        <v>658156</v>
      </c>
      <c r="I41" s="65">
        <v>679089</v>
      </c>
      <c r="J41" s="52"/>
      <c r="K41" s="52"/>
    </row>
    <row r="42" spans="2:11" x14ac:dyDescent="0.3">
      <c r="B42" s="86"/>
      <c r="C42" s="87"/>
      <c r="D42" s="63">
        <v>0.113</v>
      </c>
      <c r="E42" s="64">
        <v>527198</v>
      </c>
      <c r="F42" s="66">
        <v>539903</v>
      </c>
      <c r="G42" s="66">
        <v>553432</v>
      </c>
      <c r="H42" s="67">
        <v>567867</v>
      </c>
      <c r="I42" s="65">
        <v>583305</v>
      </c>
      <c r="J42" s="52"/>
      <c r="K42" s="85">
        <v>0.01</v>
      </c>
    </row>
    <row r="43" spans="2:11" x14ac:dyDescent="0.3">
      <c r="B43" s="86"/>
      <c r="C43" s="87"/>
      <c r="D43" s="63">
        <v>0.123</v>
      </c>
      <c r="E43" s="64">
        <v>465975</v>
      </c>
      <c r="F43" s="66">
        <v>475782</v>
      </c>
      <c r="G43" s="67">
        <v>486162</v>
      </c>
      <c r="H43" s="66">
        <v>497169</v>
      </c>
      <c r="I43" s="65">
        <v>508860</v>
      </c>
      <c r="J43" s="52"/>
      <c r="K43" s="85">
        <v>0.01</v>
      </c>
    </row>
    <row r="44" spans="2:11" x14ac:dyDescent="0.3">
      <c r="B44" s="86"/>
      <c r="C44" s="87"/>
      <c r="D44" s="63">
        <v>0.13300000000000001</v>
      </c>
      <c r="E44" s="64">
        <v>416173</v>
      </c>
      <c r="F44" s="67">
        <v>423881</v>
      </c>
      <c r="G44" s="66">
        <v>432000</v>
      </c>
      <c r="H44" s="66">
        <v>440564</v>
      </c>
      <c r="I44" s="65">
        <v>449611</v>
      </c>
      <c r="J44" s="52"/>
      <c r="K44" s="85">
        <v>0.01</v>
      </c>
    </row>
    <row r="45" spans="2:11" x14ac:dyDescent="0.3">
      <c r="B45" s="86"/>
      <c r="C45" s="87"/>
      <c r="D45" s="68">
        <v>0.14299999999999999</v>
      </c>
      <c r="E45" s="69">
        <v>375027</v>
      </c>
      <c r="F45" s="69">
        <v>381178</v>
      </c>
      <c r="G45" s="69">
        <v>387631</v>
      </c>
      <c r="H45" s="69">
        <v>394407</v>
      </c>
      <c r="I45" s="70">
        <v>401533</v>
      </c>
      <c r="J45" s="52"/>
      <c r="K45" s="52"/>
    </row>
    <row r="46" spans="2:11" x14ac:dyDescent="0.3">
      <c r="B46" s="71"/>
    </row>
    <row r="47" spans="2:11" x14ac:dyDescent="0.3">
      <c r="B47" s="14"/>
    </row>
    <row r="48" spans="2:11" x14ac:dyDescent="0.3">
      <c r="B48" s="71"/>
    </row>
    <row r="49" spans="2:2" x14ac:dyDescent="0.3">
      <c r="B49" s="71"/>
    </row>
  </sheetData>
  <mergeCells count="1">
    <mergeCell ref="B41:C45"/>
  </mergeCells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4"/>
  <sheetViews>
    <sheetView showGridLines="0" topLeftCell="A9" zoomScale="85" zoomScaleNormal="85" workbookViewId="0">
      <selection activeCell="C5" sqref="C5:F24"/>
    </sheetView>
  </sheetViews>
  <sheetFormatPr baseColWidth="10" defaultColWidth="11.3984375" defaultRowHeight="13" x14ac:dyDescent="0.3"/>
  <cols>
    <col min="1" max="1" width="3" customWidth="1"/>
    <col min="2" max="2" width="40" customWidth="1"/>
    <col min="3" max="3" width="21.3984375" bestFit="1" customWidth="1"/>
    <col min="4" max="5" width="14" customWidth="1"/>
    <col min="6" max="6" width="16.09765625" customWidth="1"/>
    <col min="7" max="7" width="13" customWidth="1"/>
    <col min="12" max="12" width="37.09765625" bestFit="1" customWidth="1"/>
    <col min="13" max="13" width="11.3984375" bestFit="1" customWidth="1"/>
    <col min="14" max="14" width="10.59765625" bestFit="1" customWidth="1"/>
  </cols>
  <sheetData>
    <row r="1" spans="2:7" ht="15.5" x14ac:dyDescent="0.35">
      <c r="B1" s="1" t="s">
        <v>1596</v>
      </c>
    </row>
    <row r="2" spans="2:7" x14ac:dyDescent="0.3">
      <c r="B2" s="2" t="s">
        <v>1597</v>
      </c>
    </row>
    <row r="4" spans="2:7" x14ac:dyDescent="0.3">
      <c r="B4" s="19" t="s">
        <v>1598</v>
      </c>
      <c r="C4" s="19" t="s">
        <v>1599</v>
      </c>
      <c r="D4" s="19" t="s">
        <v>1600</v>
      </c>
      <c r="E4" s="19" t="s">
        <v>1601</v>
      </c>
      <c r="F4" s="19" t="s">
        <v>1602</v>
      </c>
      <c r="G4" s="19" t="s">
        <v>1603</v>
      </c>
    </row>
    <row r="5" spans="2:7" x14ac:dyDescent="0.3">
      <c r="B5" s="21" t="s">
        <v>1604</v>
      </c>
      <c r="C5" s="11">
        <v>283531660.80000001</v>
      </c>
      <c r="D5" s="11">
        <v>28206582</v>
      </c>
      <c r="E5" s="50">
        <f t="shared" ref="E5:E24" si="0">C5+D5</f>
        <v>311738242.80000001</v>
      </c>
      <c r="F5" s="11">
        <v>34522524.399999999</v>
      </c>
      <c r="G5" s="80">
        <f t="shared" ref="G5:G24" si="1">E5/F5</f>
        <v>9.0299955816672561</v>
      </c>
    </row>
    <row r="6" spans="2:7" x14ac:dyDescent="0.3">
      <c r="B6" s="21" t="s">
        <v>1605</v>
      </c>
      <c r="C6" s="11">
        <v>170244844.59999999</v>
      </c>
      <c r="D6" s="11">
        <v>26114846.699999999</v>
      </c>
      <c r="E6" s="50">
        <f t="shared" si="0"/>
        <v>196359691.29999998</v>
      </c>
      <c r="F6" s="11">
        <v>21875814.399999999</v>
      </c>
      <c r="G6" s="80">
        <f t="shared" si="1"/>
        <v>8.9761088528891513</v>
      </c>
    </row>
    <row r="7" spans="2:7" x14ac:dyDescent="0.3">
      <c r="B7" s="21" t="s">
        <v>1606</v>
      </c>
      <c r="C7" s="11">
        <v>117862425.3</v>
      </c>
      <c r="D7" s="11">
        <v>42286128.700000003</v>
      </c>
      <c r="E7" s="50">
        <f t="shared" si="0"/>
        <v>160148554</v>
      </c>
      <c r="F7" s="11">
        <v>27704753.100000001</v>
      </c>
      <c r="G7" s="80">
        <f t="shared" si="1"/>
        <v>5.780544349987367</v>
      </c>
    </row>
    <row r="8" spans="2:7" x14ac:dyDescent="0.3">
      <c r="B8" s="21" t="s">
        <v>1607</v>
      </c>
      <c r="C8" s="11">
        <v>78179940.299999997</v>
      </c>
      <c r="D8" s="11">
        <v>34315298.5</v>
      </c>
      <c r="E8" s="50">
        <f t="shared" si="0"/>
        <v>112495238.8</v>
      </c>
      <c r="F8" s="11">
        <v>19049997</v>
      </c>
      <c r="G8" s="80">
        <f t="shared" si="1"/>
        <v>5.9052628092277386</v>
      </c>
    </row>
    <row r="9" spans="2:7" x14ac:dyDescent="0.3">
      <c r="B9" s="21" t="s">
        <v>1608</v>
      </c>
      <c r="C9" s="11">
        <v>64626792.799999997</v>
      </c>
      <c r="D9" s="11">
        <v>13628683.9</v>
      </c>
      <c r="E9" s="50">
        <f t="shared" si="0"/>
        <v>78255476.700000003</v>
      </c>
      <c r="F9" s="11">
        <v>14045376.199999999</v>
      </c>
      <c r="G9" s="80">
        <f t="shared" si="1"/>
        <v>5.571618416315542</v>
      </c>
    </row>
    <row r="10" spans="2:7" x14ac:dyDescent="0.3">
      <c r="B10" s="21" t="s">
        <v>1609</v>
      </c>
      <c r="C10" s="11">
        <v>58422792.600000001</v>
      </c>
      <c r="D10" s="11">
        <v>43354379.899999999</v>
      </c>
      <c r="E10" s="50">
        <f t="shared" si="0"/>
        <v>101777172.5</v>
      </c>
      <c r="F10" s="11">
        <v>7270058.9000000004</v>
      </c>
      <c r="G10" s="80">
        <f t="shared" si="1"/>
        <v>13.999497651937867</v>
      </c>
    </row>
    <row r="11" spans="2:7" x14ac:dyDescent="0.3">
      <c r="B11" s="21" t="s">
        <v>1610</v>
      </c>
      <c r="C11" s="11">
        <v>49782874.399999999</v>
      </c>
      <c r="D11" s="11">
        <v>40521227</v>
      </c>
      <c r="E11" s="50">
        <f t="shared" si="0"/>
        <v>90304101.400000006</v>
      </c>
      <c r="F11" s="11">
        <v>17537391.199999999</v>
      </c>
      <c r="G11" s="80">
        <f t="shared" si="1"/>
        <v>5.1492323099914659</v>
      </c>
    </row>
    <row r="12" spans="2:7" x14ac:dyDescent="0.3">
      <c r="B12" s="21" t="s">
        <v>1611</v>
      </c>
      <c r="C12" s="11">
        <v>41012017.200000003</v>
      </c>
      <c r="D12" s="11">
        <v>16505937.4</v>
      </c>
      <c r="E12" s="50">
        <f t="shared" si="0"/>
        <v>57517954.600000001</v>
      </c>
      <c r="F12" s="11">
        <v>3939634.7</v>
      </c>
      <c r="G12" s="80">
        <f t="shared" si="1"/>
        <v>14.599819267507213</v>
      </c>
    </row>
    <row r="13" spans="2:7" x14ac:dyDescent="0.3">
      <c r="B13" s="21" t="s">
        <v>1612</v>
      </c>
      <c r="C13" s="11">
        <v>39460861</v>
      </c>
      <c r="D13" s="11">
        <v>8036527</v>
      </c>
      <c r="E13" s="50">
        <f t="shared" si="0"/>
        <v>47497388</v>
      </c>
      <c r="F13" s="11">
        <v>6583474.5999999996</v>
      </c>
      <c r="G13" s="80">
        <f t="shared" si="1"/>
        <v>7.214638300571556</v>
      </c>
    </row>
    <row r="14" spans="2:7" x14ac:dyDescent="0.3">
      <c r="B14" s="21" t="s">
        <v>1613</v>
      </c>
      <c r="C14" s="11">
        <v>38748544.299999997</v>
      </c>
      <c r="D14" s="11">
        <v>19488224.600000001</v>
      </c>
      <c r="E14" s="50">
        <f t="shared" si="0"/>
        <v>58236768.899999999</v>
      </c>
      <c r="F14" s="11">
        <v>5567924.0999999996</v>
      </c>
      <c r="G14" s="80">
        <f t="shared" si="1"/>
        <v>10.459332392839192</v>
      </c>
    </row>
    <row r="15" spans="2:7" x14ac:dyDescent="0.3">
      <c r="B15" s="21" t="s">
        <v>1614</v>
      </c>
      <c r="C15" s="11">
        <v>34168733.5</v>
      </c>
      <c r="D15" s="11">
        <v>18076414.899999999</v>
      </c>
      <c r="E15" s="50">
        <f t="shared" si="0"/>
        <v>52245148.399999999</v>
      </c>
      <c r="F15" s="11">
        <v>4136122.3</v>
      </c>
      <c r="G15" s="80">
        <f t="shared" si="1"/>
        <v>12.631432199188113</v>
      </c>
    </row>
    <row r="16" spans="2:7" x14ac:dyDescent="0.3">
      <c r="B16" s="21" t="s">
        <v>1615</v>
      </c>
      <c r="C16" s="11">
        <v>32059227.199999999</v>
      </c>
      <c r="D16" s="11">
        <v>24864215</v>
      </c>
      <c r="E16" s="50">
        <f t="shared" si="0"/>
        <v>56923442.200000003</v>
      </c>
      <c r="F16" s="11">
        <v>3963558.6</v>
      </c>
      <c r="G16" s="80">
        <f t="shared" si="1"/>
        <v>14.361700669696168</v>
      </c>
    </row>
    <row r="17" spans="2:14" x14ac:dyDescent="0.3">
      <c r="B17" s="21" t="s">
        <v>1616</v>
      </c>
      <c r="C17" s="11">
        <v>31833186.300000001</v>
      </c>
      <c r="D17" s="11">
        <v>5103633.2</v>
      </c>
      <c r="E17" s="50">
        <f t="shared" si="0"/>
        <v>36936819.5</v>
      </c>
      <c r="F17" s="11">
        <v>6815446</v>
      </c>
      <c r="G17" s="80">
        <f t="shared" si="1"/>
        <v>5.4195748157934203</v>
      </c>
    </row>
    <row r="18" spans="2:14" x14ac:dyDescent="0.3">
      <c r="B18" s="21" t="s">
        <v>1617</v>
      </c>
      <c r="C18" s="11">
        <v>31631099.899999999</v>
      </c>
      <c r="D18" s="11">
        <v>39160816.899999999</v>
      </c>
      <c r="E18" s="50">
        <f t="shared" si="0"/>
        <v>70791916.799999997</v>
      </c>
      <c r="F18" s="11">
        <v>8716376.4000000004</v>
      </c>
      <c r="G18" s="80">
        <f t="shared" si="1"/>
        <v>8.1217140645738972</v>
      </c>
    </row>
    <row r="19" spans="2:14" x14ac:dyDescent="0.3">
      <c r="B19" s="21" t="s">
        <v>1618</v>
      </c>
      <c r="C19" s="11">
        <v>30326121.800000001</v>
      </c>
      <c r="D19" s="11">
        <v>14616447.800000001</v>
      </c>
      <c r="E19" s="50">
        <f t="shared" si="0"/>
        <v>44942569.600000001</v>
      </c>
      <c r="F19" s="11">
        <v>3553635.4</v>
      </c>
      <c r="G19" s="80">
        <f t="shared" si="1"/>
        <v>12.646927594203953</v>
      </c>
    </row>
    <row r="20" spans="2:14" x14ac:dyDescent="0.3">
      <c r="B20" s="21" t="s">
        <v>1619</v>
      </c>
      <c r="C20" s="11">
        <v>29944852.600000001</v>
      </c>
      <c r="D20" s="11">
        <v>6058668.5</v>
      </c>
      <c r="E20" s="50">
        <f t="shared" si="0"/>
        <v>36003521.100000001</v>
      </c>
      <c r="F20" s="11">
        <v>6201715.4000000004</v>
      </c>
      <c r="G20" s="80">
        <f t="shared" si="1"/>
        <v>5.8054133054864145</v>
      </c>
    </row>
    <row r="21" spans="2:14" x14ac:dyDescent="0.3">
      <c r="B21" s="21" t="s">
        <v>1620</v>
      </c>
      <c r="C21" s="11">
        <v>29047937.5</v>
      </c>
      <c r="D21" s="11">
        <v>12059882.300000001</v>
      </c>
      <c r="E21" s="50">
        <f t="shared" si="0"/>
        <v>41107819.799999997</v>
      </c>
      <c r="F21" s="11">
        <v>3878595.7</v>
      </c>
      <c r="G21" s="80">
        <f t="shared" si="1"/>
        <v>10.598634913146528</v>
      </c>
    </row>
    <row r="22" spans="2:14" x14ac:dyDescent="0.3">
      <c r="B22" s="21" t="s">
        <v>1621</v>
      </c>
      <c r="C22" s="11">
        <v>27740356.800000001</v>
      </c>
      <c r="D22" s="11">
        <v>6538349.0999999996</v>
      </c>
      <c r="E22" s="50">
        <f t="shared" si="0"/>
        <v>34278705.899999999</v>
      </c>
      <c r="F22" s="11">
        <v>4417483.3</v>
      </c>
      <c r="G22" s="80">
        <f t="shared" si="1"/>
        <v>7.7597816612006207</v>
      </c>
    </row>
    <row r="23" spans="2:14" x14ac:dyDescent="0.3">
      <c r="B23" s="21" t="s">
        <v>1622</v>
      </c>
      <c r="C23" s="11">
        <v>27312667.5</v>
      </c>
      <c r="D23" s="11">
        <v>19195471</v>
      </c>
      <c r="E23" s="50">
        <f t="shared" si="0"/>
        <v>46508138.5</v>
      </c>
      <c r="F23" s="11">
        <v>5505722.4000000004</v>
      </c>
      <c r="G23" s="80">
        <f t="shared" si="1"/>
        <v>8.4472363699266779</v>
      </c>
    </row>
    <row r="24" spans="2:14" x14ac:dyDescent="0.3">
      <c r="B24" s="21" t="s">
        <v>1623</v>
      </c>
      <c r="C24" s="11">
        <v>25838585.300000001</v>
      </c>
      <c r="D24" s="11">
        <v>18466380.600000001</v>
      </c>
      <c r="E24" s="50">
        <f t="shared" si="0"/>
        <v>44304965.900000006</v>
      </c>
      <c r="F24" s="11">
        <v>4264595</v>
      </c>
      <c r="G24" s="80">
        <f t="shared" si="1"/>
        <v>10.389020739366812</v>
      </c>
    </row>
    <row r="26" spans="2:14" x14ac:dyDescent="0.3">
      <c r="C26" s="13"/>
      <c r="L26" s="72"/>
      <c r="M26" s="52"/>
      <c r="N26" s="52"/>
    </row>
    <row r="27" spans="2:14" x14ac:dyDescent="0.3">
      <c r="B27" s="54" t="s">
        <v>1624</v>
      </c>
      <c r="C27" s="54"/>
      <c r="D27" s="54"/>
      <c r="E27" s="54"/>
    </row>
    <row r="28" spans="2:14" ht="13.5" thickBot="1" x14ac:dyDescent="0.35">
      <c r="B28" s="73" t="s">
        <v>1625</v>
      </c>
      <c r="C28" s="74" t="s">
        <v>1626</v>
      </c>
      <c r="D28" s="74" t="s">
        <v>1627</v>
      </c>
      <c r="E28" s="74" t="s">
        <v>1628</v>
      </c>
    </row>
    <row r="29" spans="2:14" x14ac:dyDescent="0.3">
      <c r="B29" t="s">
        <v>1629</v>
      </c>
      <c r="C29" s="11">
        <v>3504.3004489999998</v>
      </c>
      <c r="D29" s="11">
        <v>3504.3004489999998</v>
      </c>
      <c r="E29" s="11">
        <v>3504.3004489999998</v>
      </c>
    </row>
    <row r="30" spans="2:14" ht="13.5" thickBot="1" x14ac:dyDescent="0.35">
      <c r="B30" s="75" t="s">
        <v>1630</v>
      </c>
      <c r="C30" s="79">
        <f>MIN(G5:G24)</f>
        <v>5.1492323099914659</v>
      </c>
      <c r="D30" s="79">
        <f>MEDIAN(G5:G24)</f>
        <v>8.7116726114079146</v>
      </c>
      <c r="E30" s="79">
        <f>MAX(G5:G24)</f>
        <v>14.599819267507213</v>
      </c>
    </row>
    <row r="31" spans="2:14" x14ac:dyDescent="0.3">
      <c r="B31" s="77" t="s">
        <v>1631</v>
      </c>
      <c r="C31" s="78">
        <f>C29*C30</f>
        <v>18044.457095908401</v>
      </c>
      <c r="D31" s="78">
        <f t="shared" ref="D31:E31" si="2">D29*D30</f>
        <v>30528.318243697755</v>
      </c>
      <c r="E31" s="78">
        <f t="shared" si="2"/>
        <v>51162.153214444377</v>
      </c>
    </row>
    <row r="32" spans="2:14" x14ac:dyDescent="0.3">
      <c r="B32" s="75" t="s">
        <v>1632</v>
      </c>
      <c r="C32" s="76"/>
      <c r="D32" s="76"/>
      <c r="E32" s="76"/>
    </row>
    <row r="33" spans="2:5" x14ac:dyDescent="0.3">
      <c r="B33" s="54" t="s">
        <v>1593</v>
      </c>
      <c r="C33" s="55"/>
      <c r="D33" s="55"/>
      <c r="E33" s="55"/>
    </row>
    <row r="34" spans="2:5" x14ac:dyDescent="0.3">
      <c r="B34" s="72" t="s">
        <v>1633</v>
      </c>
      <c r="C34" s="52"/>
      <c r="D34" s="52"/>
      <c r="E34" s="5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1"/>
  <sheetViews>
    <sheetView showGridLines="0" workbookViewId="0">
      <selection activeCell="C6" sqref="C6"/>
    </sheetView>
  </sheetViews>
  <sheetFormatPr baseColWidth="10" defaultColWidth="11.3984375" defaultRowHeight="13" x14ac:dyDescent="0.3"/>
  <cols>
    <col min="1" max="1" width="3" customWidth="1"/>
    <col min="2" max="2" width="32" customWidth="1"/>
    <col min="3" max="3" width="16" customWidth="1"/>
    <col min="4" max="4" width="12" customWidth="1"/>
    <col min="5" max="5" width="16" customWidth="1"/>
  </cols>
  <sheetData>
    <row r="1" spans="2:5" ht="15.5" x14ac:dyDescent="0.35">
      <c r="B1" s="1" t="s">
        <v>1634</v>
      </c>
    </row>
    <row r="2" spans="2:5" x14ac:dyDescent="0.3">
      <c r="B2" s="2" t="s">
        <v>1635</v>
      </c>
    </row>
    <row r="4" spans="2:5" x14ac:dyDescent="0.3">
      <c r="B4" s="19" t="s">
        <v>1636</v>
      </c>
      <c r="C4" s="19" t="s">
        <v>1637</v>
      </c>
      <c r="D4" s="19" t="s">
        <v>1638</v>
      </c>
      <c r="E4" s="19" t="s">
        <v>1639</v>
      </c>
    </row>
    <row r="5" spans="2:5" x14ac:dyDescent="0.3">
      <c r="B5" s="21" t="s">
        <v>1640</v>
      </c>
      <c r="C5" s="39">
        <f>DCF!$G$32</f>
        <v>17134.758276726185</v>
      </c>
      <c r="D5" s="12">
        <v>0.5</v>
      </c>
      <c r="E5" s="39">
        <f>C5*D5</f>
        <v>8567.3791383630924</v>
      </c>
    </row>
    <row r="6" spans="2:5" x14ac:dyDescent="0.3">
      <c r="B6" s="21" t="s">
        <v>1641</v>
      </c>
      <c r="C6" s="39" t="e">
        <f>Comparables!#REF!</f>
        <v>#REF!</v>
      </c>
      <c r="D6" s="12">
        <v>0.5</v>
      </c>
      <c r="E6" s="39" t="e">
        <f>C6*D6</f>
        <v>#REF!</v>
      </c>
    </row>
    <row r="7" spans="2:5" x14ac:dyDescent="0.3">
      <c r="B7" s="2" t="s">
        <v>1642</v>
      </c>
      <c r="D7" s="14">
        <f>SUM(D5:D6)</f>
        <v>1</v>
      </c>
    </row>
    <row r="9" spans="2:5" x14ac:dyDescent="0.3">
      <c r="B9" s="83" t="s">
        <v>1643</v>
      </c>
      <c r="C9" s="84" t="e">
        <f>SUM(E5:E6)</f>
        <v>#REF!</v>
      </c>
    </row>
    <row r="10" spans="2:5" x14ac:dyDescent="0.3">
      <c r="B10" t="s">
        <v>1592</v>
      </c>
      <c r="C10" s="6">
        <f>DCF!$C$8</f>
        <v>15904.673344000001</v>
      </c>
    </row>
    <row r="11" spans="2:5" x14ac:dyDescent="0.3">
      <c r="B11" s="83" t="s">
        <v>1593</v>
      </c>
      <c r="C11" s="84" t="e">
        <f>C9-C10</f>
        <v>#REF!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50E4-ED63-445C-BDB7-215BBF33E532}">
  <dimension ref="A1:G39"/>
  <sheetViews>
    <sheetView workbookViewId="0">
      <selection activeCell="B11" sqref="B11:C11"/>
    </sheetView>
  </sheetViews>
  <sheetFormatPr baseColWidth="10" defaultColWidth="11.3984375" defaultRowHeight="13" x14ac:dyDescent="0.3"/>
  <cols>
    <col min="1" max="1" width="42" customWidth="1"/>
    <col min="2" max="2" width="32" customWidth="1"/>
    <col min="3" max="3" width="16" customWidth="1"/>
    <col min="4" max="4" width="12" customWidth="1"/>
    <col min="5" max="6" width="16" customWidth="1"/>
    <col min="7" max="7" width="13" customWidth="1"/>
  </cols>
  <sheetData>
    <row r="1" spans="1:7" x14ac:dyDescent="0.3">
      <c r="A1">
        <v>39</v>
      </c>
      <c r="B1">
        <v>7</v>
      </c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4"/>
      <c r="B4" s="3"/>
      <c r="C4" s="3"/>
      <c r="D4" s="3"/>
      <c r="E4" s="3"/>
      <c r="F4" s="3"/>
      <c r="G4" s="3"/>
    </row>
    <row r="5" spans="1:7" x14ac:dyDescent="0.3">
      <c r="A5" s="4"/>
      <c r="C5" s="6"/>
      <c r="D5" s="6"/>
      <c r="E5" s="6"/>
      <c r="F5" s="6"/>
      <c r="G5" s="13"/>
    </row>
    <row r="6" spans="1:7" x14ac:dyDescent="0.3">
      <c r="A6" s="4"/>
      <c r="C6" s="6"/>
      <c r="D6" s="6"/>
      <c r="E6" s="6"/>
      <c r="F6" s="6"/>
      <c r="G6" s="13"/>
    </row>
    <row r="7" spans="1:7" x14ac:dyDescent="0.3">
      <c r="A7" s="4"/>
      <c r="C7" s="12"/>
      <c r="D7" s="9"/>
      <c r="E7" s="6"/>
      <c r="F7" s="9"/>
      <c r="G7" s="13"/>
    </row>
    <row r="8" spans="1:7" x14ac:dyDescent="0.3">
      <c r="A8" s="4"/>
      <c r="C8" s="11"/>
      <c r="D8" s="6"/>
      <c r="E8" s="6"/>
      <c r="F8" s="6"/>
      <c r="G8" s="13"/>
    </row>
    <row r="9" spans="1:7" ht="13.5" thickBot="1" x14ac:dyDescent="0.35">
      <c r="A9" s="4"/>
      <c r="B9" s="81"/>
      <c r="C9" s="82"/>
      <c r="D9" s="6"/>
      <c r="E9" s="6"/>
      <c r="F9" s="6"/>
      <c r="G9" s="13"/>
    </row>
    <row r="10" spans="1:7" x14ac:dyDescent="0.3">
      <c r="A10" s="4"/>
      <c r="C10" s="12"/>
      <c r="D10" s="6"/>
      <c r="E10" s="6"/>
      <c r="F10" s="6"/>
      <c r="G10" s="13"/>
    </row>
    <row r="11" spans="1:7" x14ac:dyDescent="0.3">
      <c r="A11" s="4"/>
      <c r="B11" s="8"/>
      <c r="C11" s="9"/>
      <c r="D11" s="6"/>
      <c r="E11" s="6"/>
      <c r="F11" s="6"/>
      <c r="G11" s="13"/>
    </row>
    <row r="12" spans="1:7" x14ac:dyDescent="0.3">
      <c r="A12" s="4"/>
      <c r="C12" s="12"/>
      <c r="D12" s="6"/>
      <c r="E12" s="6"/>
      <c r="F12" s="6"/>
      <c r="G12" s="13"/>
    </row>
    <row r="13" spans="1:7" x14ac:dyDescent="0.3">
      <c r="A13" s="4"/>
      <c r="D13" s="6"/>
      <c r="E13" s="6"/>
      <c r="F13" s="6"/>
      <c r="G13" s="13"/>
    </row>
    <row r="14" spans="1:7" x14ac:dyDescent="0.3">
      <c r="A14" s="4"/>
      <c r="C14" s="3"/>
      <c r="D14" s="3"/>
      <c r="E14" s="6"/>
      <c r="F14" s="3"/>
      <c r="G14" s="13"/>
    </row>
    <row r="15" spans="1:7" x14ac:dyDescent="0.3">
      <c r="A15" s="4"/>
      <c r="C15" s="12"/>
      <c r="D15" s="12"/>
      <c r="E15" s="6"/>
      <c r="F15" s="12"/>
      <c r="G15" s="13"/>
    </row>
    <row r="16" spans="1:7" x14ac:dyDescent="0.3">
      <c r="A16" s="4"/>
      <c r="C16" s="6"/>
      <c r="D16" s="6"/>
      <c r="E16" s="6"/>
      <c r="F16" s="6"/>
      <c r="G16" s="13"/>
    </row>
    <row r="17" spans="1:7" x14ac:dyDescent="0.3">
      <c r="A17" s="4"/>
      <c r="C17" s="6"/>
      <c r="D17" s="6"/>
      <c r="E17" s="6"/>
      <c r="F17" s="6"/>
      <c r="G17" s="13"/>
    </row>
    <row r="18" spans="1:7" x14ac:dyDescent="0.3">
      <c r="A18" s="4"/>
      <c r="C18" s="6"/>
      <c r="D18" s="6"/>
      <c r="E18" s="6"/>
      <c r="F18" s="6"/>
      <c r="G18" s="13"/>
    </row>
    <row r="19" spans="1:7" x14ac:dyDescent="0.3">
      <c r="A19" s="4"/>
      <c r="D19" s="6"/>
      <c r="E19" s="6"/>
      <c r="F19" s="6"/>
      <c r="G19" s="13"/>
    </row>
    <row r="20" spans="1:7" x14ac:dyDescent="0.3">
      <c r="A20" s="4"/>
      <c r="C20" s="11"/>
      <c r="D20" s="11"/>
      <c r="E20" s="6"/>
      <c r="F20" s="11"/>
      <c r="G20" s="13"/>
    </row>
    <row r="21" spans="1:7" x14ac:dyDescent="0.3">
      <c r="A21" s="4"/>
      <c r="C21" s="6"/>
      <c r="D21" s="6"/>
      <c r="E21" s="6"/>
      <c r="F21" s="6"/>
      <c r="G21" s="13"/>
    </row>
    <row r="22" spans="1:7" x14ac:dyDescent="0.3">
      <c r="A22" s="4"/>
      <c r="D22" s="6"/>
      <c r="E22" s="6"/>
      <c r="F22" s="6"/>
      <c r="G22" s="13"/>
    </row>
    <row r="23" spans="1:7" x14ac:dyDescent="0.3">
      <c r="A23" s="4"/>
      <c r="C23" s="8"/>
      <c r="D23" s="9"/>
      <c r="E23" s="6"/>
      <c r="F23" s="9"/>
      <c r="G23" s="13"/>
    </row>
    <row r="24" spans="1:7" x14ac:dyDescent="0.3">
      <c r="A24" s="4"/>
      <c r="D24" s="6"/>
      <c r="E24" s="6"/>
      <c r="F24" s="6"/>
      <c r="G24" s="13"/>
    </row>
    <row r="25" spans="1:7" x14ac:dyDescent="0.3">
      <c r="A25" s="4"/>
      <c r="C25" s="8"/>
      <c r="D25" s="9"/>
      <c r="E25" s="9"/>
      <c r="F25" s="9"/>
      <c r="G25" s="7"/>
    </row>
    <row r="26" spans="1:7" x14ac:dyDescent="0.3">
      <c r="A26" s="4"/>
      <c r="C26" s="5"/>
      <c r="D26" s="5"/>
      <c r="E26" s="5"/>
      <c r="F26" s="5"/>
      <c r="G26" s="5"/>
    </row>
    <row r="27" spans="1:7" x14ac:dyDescent="0.3">
      <c r="A27" s="4"/>
      <c r="C27" s="15"/>
      <c r="D27" s="15"/>
      <c r="E27" s="15"/>
      <c r="F27" s="15"/>
      <c r="G27" s="15"/>
    </row>
    <row r="28" spans="1:7" x14ac:dyDescent="0.3">
      <c r="A28" s="4"/>
      <c r="D28" s="6"/>
      <c r="E28" s="6"/>
      <c r="F28" s="6"/>
      <c r="G28" s="7"/>
    </row>
    <row r="29" spans="1:7" x14ac:dyDescent="0.3">
      <c r="A29" s="4"/>
      <c r="D29" s="6"/>
      <c r="E29" s="6"/>
      <c r="F29" s="6"/>
      <c r="G29" s="7"/>
    </row>
    <row r="30" spans="1:7" x14ac:dyDescent="0.3">
      <c r="A30" s="4"/>
      <c r="G30" s="6"/>
    </row>
    <row r="31" spans="1:7" x14ac:dyDescent="0.3">
      <c r="A31" s="4"/>
      <c r="B31" s="19"/>
      <c r="D31" s="6"/>
      <c r="E31" s="6"/>
      <c r="F31" s="6"/>
      <c r="G31" s="7"/>
    </row>
    <row r="32" spans="1:7" ht="13.5" thickBot="1" x14ac:dyDescent="0.35">
      <c r="A32" s="4"/>
      <c r="B32" s="8"/>
      <c r="G32" s="9"/>
    </row>
    <row r="33" spans="1:7" ht="13.5" thickBot="1" x14ac:dyDescent="0.35">
      <c r="A33" s="4"/>
      <c r="C33" s="25"/>
      <c r="D33" s="40"/>
      <c r="E33" s="40"/>
      <c r="F33" s="40"/>
      <c r="G33" s="7"/>
    </row>
    <row r="34" spans="1:7" x14ac:dyDescent="0.3">
      <c r="A34" s="4"/>
      <c r="C34" s="25"/>
      <c r="D34" s="40"/>
      <c r="E34" s="40"/>
      <c r="F34" s="40"/>
      <c r="G34" s="7"/>
    </row>
    <row r="35" spans="1:7" x14ac:dyDescent="0.3">
      <c r="A35" s="4"/>
      <c r="B35" s="8"/>
      <c r="C35" s="8"/>
      <c r="D35" s="9"/>
      <c r="E35" s="9"/>
      <c r="F35" s="9"/>
      <c r="G35" s="7"/>
    </row>
    <row r="36" spans="1:7" x14ac:dyDescent="0.3">
      <c r="A36" s="16"/>
      <c r="C36" s="5"/>
      <c r="D36" s="5"/>
      <c r="E36" s="5"/>
      <c r="G36" s="7"/>
    </row>
    <row r="37" spans="1:7" x14ac:dyDescent="0.3">
      <c r="A37" s="16"/>
      <c r="C37" s="5"/>
      <c r="D37" s="5"/>
      <c r="E37" s="5"/>
      <c r="G37" s="7"/>
    </row>
    <row r="38" spans="1:7" x14ac:dyDescent="0.3">
      <c r="A38" s="16"/>
      <c r="C38" s="5"/>
      <c r="D38" s="5"/>
      <c r="E38" s="5"/>
      <c r="G38" s="7"/>
    </row>
    <row r="39" spans="1:7" x14ac:dyDescent="0.3">
      <c r="A39" s="16"/>
      <c r="B39" s="30"/>
      <c r="C39" s="31"/>
      <c r="D39" s="31"/>
      <c r="E39" s="31"/>
      <c r="G3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43AF-B9EE-4CED-BD92-EF3F6C8ADB2F}">
  <dimension ref="A1:G39"/>
  <sheetViews>
    <sheetView workbookViewId="0">
      <selection activeCell="B11" sqref="B11:C11"/>
    </sheetView>
  </sheetViews>
  <sheetFormatPr baseColWidth="10" defaultColWidth="11.3984375" defaultRowHeight="13" x14ac:dyDescent="0.3"/>
  <cols>
    <col min="1" max="1" width="42" customWidth="1"/>
    <col min="2" max="2" width="32" customWidth="1"/>
    <col min="3" max="3" width="16" customWidth="1"/>
    <col min="4" max="4" width="12" customWidth="1"/>
    <col min="5" max="6" width="16" customWidth="1"/>
    <col min="7" max="7" width="13" customWidth="1"/>
  </cols>
  <sheetData>
    <row r="1" spans="1:7" x14ac:dyDescent="0.3">
      <c r="A1">
        <v>39</v>
      </c>
      <c r="B1">
        <v>7</v>
      </c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4"/>
      <c r="B4" s="3"/>
      <c r="C4" s="3"/>
      <c r="D4" s="3"/>
      <c r="E4" s="3"/>
      <c r="F4" s="3"/>
      <c r="G4" s="3"/>
    </row>
    <row r="5" spans="1:7" x14ac:dyDescent="0.3">
      <c r="A5" s="4"/>
      <c r="C5" s="6"/>
      <c r="D5" s="6"/>
      <c r="E5" s="6"/>
      <c r="F5" s="6"/>
      <c r="G5" s="13"/>
    </row>
    <row r="6" spans="1:7" x14ac:dyDescent="0.3">
      <c r="A6" s="4"/>
      <c r="C6" s="6"/>
      <c r="D6" s="6"/>
      <c r="E6" s="6"/>
      <c r="F6" s="6"/>
      <c r="G6" s="13"/>
    </row>
    <row r="7" spans="1:7" x14ac:dyDescent="0.3">
      <c r="A7" s="4"/>
      <c r="C7" s="12"/>
      <c r="D7" s="9"/>
      <c r="E7" s="6"/>
      <c r="F7" s="9"/>
      <c r="G7" s="13"/>
    </row>
    <row r="8" spans="1:7" x14ac:dyDescent="0.3">
      <c r="A8" s="4"/>
      <c r="C8" s="11"/>
      <c r="D8" s="6"/>
      <c r="E8" s="6"/>
      <c r="F8" s="6"/>
      <c r="G8" s="13"/>
    </row>
    <row r="9" spans="1:7" ht="13.5" thickBot="1" x14ac:dyDescent="0.35">
      <c r="A9" s="4"/>
      <c r="B9" s="81"/>
      <c r="C9" s="82"/>
      <c r="D9" s="6"/>
      <c r="E9" s="6"/>
      <c r="F9" s="6"/>
      <c r="G9" s="13"/>
    </row>
    <row r="10" spans="1:7" x14ac:dyDescent="0.3">
      <c r="A10" s="4"/>
      <c r="C10" s="12"/>
      <c r="D10" s="6"/>
      <c r="E10" s="6"/>
      <c r="F10" s="6"/>
      <c r="G10" s="13"/>
    </row>
    <row r="11" spans="1:7" x14ac:dyDescent="0.3">
      <c r="A11" s="4"/>
      <c r="B11" s="8"/>
      <c r="C11" s="9"/>
      <c r="D11" s="6"/>
      <c r="E11" s="6"/>
      <c r="F11" s="6"/>
      <c r="G11" s="13"/>
    </row>
    <row r="12" spans="1:7" x14ac:dyDescent="0.3">
      <c r="A12" s="4"/>
      <c r="C12" s="12"/>
      <c r="D12" s="6"/>
      <c r="E12" s="6"/>
      <c r="F12" s="6"/>
      <c r="G12" s="13"/>
    </row>
    <row r="13" spans="1:7" x14ac:dyDescent="0.3">
      <c r="A13" s="4"/>
      <c r="D13" s="6"/>
      <c r="E13" s="6"/>
      <c r="F13" s="6"/>
      <c r="G13" s="13"/>
    </row>
    <row r="14" spans="1:7" x14ac:dyDescent="0.3">
      <c r="A14" s="4"/>
      <c r="C14" s="3"/>
      <c r="D14" s="3"/>
      <c r="E14" s="6"/>
      <c r="F14" s="3"/>
      <c r="G14" s="13"/>
    </row>
    <row r="15" spans="1:7" x14ac:dyDescent="0.3">
      <c r="A15" s="4"/>
      <c r="C15" s="12"/>
      <c r="D15" s="12"/>
      <c r="E15" s="6"/>
      <c r="F15" s="12"/>
      <c r="G15" s="13"/>
    </row>
    <row r="16" spans="1:7" x14ac:dyDescent="0.3">
      <c r="A16" s="4"/>
      <c r="C16" s="6"/>
      <c r="D16" s="6"/>
      <c r="E16" s="6"/>
      <c r="F16" s="6"/>
      <c r="G16" s="13"/>
    </row>
    <row r="17" spans="1:7" x14ac:dyDescent="0.3">
      <c r="A17" s="4"/>
      <c r="C17" s="6"/>
      <c r="D17" s="6"/>
      <c r="E17" s="6"/>
      <c r="F17" s="6"/>
      <c r="G17" s="13"/>
    </row>
    <row r="18" spans="1:7" x14ac:dyDescent="0.3">
      <c r="A18" s="4"/>
      <c r="C18" s="6"/>
      <c r="D18" s="6"/>
      <c r="E18" s="6"/>
      <c r="F18" s="6"/>
      <c r="G18" s="13"/>
    </row>
    <row r="19" spans="1:7" x14ac:dyDescent="0.3">
      <c r="A19" s="4"/>
      <c r="D19" s="6"/>
      <c r="E19" s="6"/>
      <c r="F19" s="6"/>
      <c r="G19" s="13"/>
    </row>
    <row r="20" spans="1:7" x14ac:dyDescent="0.3">
      <c r="A20" s="4"/>
      <c r="C20" s="11"/>
      <c r="D20" s="11"/>
      <c r="E20" s="6"/>
      <c r="F20" s="11"/>
      <c r="G20" s="13"/>
    </row>
    <row r="21" spans="1:7" x14ac:dyDescent="0.3">
      <c r="A21" s="4"/>
      <c r="C21" s="6"/>
      <c r="D21" s="6"/>
      <c r="E21" s="6"/>
      <c r="F21" s="6"/>
      <c r="G21" s="13"/>
    </row>
    <row r="22" spans="1:7" x14ac:dyDescent="0.3">
      <c r="A22" s="4"/>
      <c r="D22" s="6"/>
      <c r="E22" s="6"/>
      <c r="F22" s="6"/>
      <c r="G22" s="13"/>
    </row>
    <row r="23" spans="1:7" x14ac:dyDescent="0.3">
      <c r="A23" s="4"/>
      <c r="C23" s="8"/>
      <c r="D23" s="9"/>
      <c r="E23" s="6"/>
      <c r="F23" s="9"/>
      <c r="G23" s="13"/>
    </row>
    <row r="24" spans="1:7" x14ac:dyDescent="0.3">
      <c r="A24" s="4"/>
      <c r="D24" s="6"/>
      <c r="E24" s="6"/>
      <c r="F24" s="6"/>
      <c r="G24" s="13"/>
    </row>
    <row r="25" spans="1:7" x14ac:dyDescent="0.3">
      <c r="A25" s="4"/>
      <c r="C25" s="8"/>
      <c r="D25" s="9"/>
      <c r="E25" s="9"/>
      <c r="F25" s="9"/>
      <c r="G25" s="7"/>
    </row>
    <row r="26" spans="1:7" x14ac:dyDescent="0.3">
      <c r="A26" s="4"/>
      <c r="C26" s="5"/>
      <c r="D26" s="5"/>
      <c r="E26" s="5"/>
      <c r="F26" s="5"/>
      <c r="G26" s="5"/>
    </row>
    <row r="27" spans="1:7" x14ac:dyDescent="0.3">
      <c r="A27" s="4"/>
      <c r="C27" s="15"/>
      <c r="D27" s="15"/>
      <c r="E27" s="15"/>
      <c r="F27" s="15"/>
      <c r="G27" s="15"/>
    </row>
    <row r="28" spans="1:7" x14ac:dyDescent="0.3">
      <c r="A28" s="4"/>
      <c r="D28" s="6"/>
      <c r="E28" s="6"/>
      <c r="F28" s="6"/>
      <c r="G28" s="7"/>
    </row>
    <row r="29" spans="1:7" x14ac:dyDescent="0.3">
      <c r="A29" s="4"/>
      <c r="D29" s="6"/>
      <c r="E29" s="6"/>
      <c r="F29" s="6"/>
      <c r="G29" s="7"/>
    </row>
    <row r="30" spans="1:7" x14ac:dyDescent="0.3">
      <c r="A30" s="4"/>
      <c r="G30" s="6"/>
    </row>
    <row r="31" spans="1:7" x14ac:dyDescent="0.3">
      <c r="A31" s="4"/>
      <c r="B31" s="19"/>
      <c r="D31" s="6"/>
      <c r="E31" s="6"/>
      <c r="F31" s="6"/>
      <c r="G31" s="7"/>
    </row>
    <row r="32" spans="1:7" ht="13.5" thickBot="1" x14ac:dyDescent="0.35">
      <c r="A32" s="4"/>
      <c r="B32" s="8"/>
      <c r="G32" s="9"/>
    </row>
    <row r="33" spans="1:7" ht="13.5" thickBot="1" x14ac:dyDescent="0.35">
      <c r="A33" s="4"/>
      <c r="C33" s="25"/>
      <c r="D33" s="40"/>
      <c r="E33" s="40"/>
      <c r="F33" s="40"/>
      <c r="G33" s="7"/>
    </row>
    <row r="34" spans="1:7" x14ac:dyDescent="0.3">
      <c r="A34" s="4"/>
      <c r="C34" s="25"/>
      <c r="D34" s="40"/>
      <c r="E34" s="40"/>
      <c r="F34" s="40"/>
      <c r="G34" s="7"/>
    </row>
    <row r="35" spans="1:7" x14ac:dyDescent="0.3">
      <c r="A35" s="4"/>
      <c r="B35" s="8"/>
      <c r="C35" s="8"/>
      <c r="D35" s="9"/>
      <c r="E35" s="9"/>
      <c r="F35" s="9"/>
      <c r="G35" s="7"/>
    </row>
    <row r="36" spans="1:7" x14ac:dyDescent="0.3">
      <c r="A36" s="16"/>
      <c r="C36" s="5"/>
      <c r="D36" s="5"/>
      <c r="E36" s="5"/>
      <c r="G36" s="7"/>
    </row>
    <row r="37" spans="1:7" x14ac:dyDescent="0.3">
      <c r="A37" s="16"/>
      <c r="C37" s="5"/>
      <c r="D37" s="5"/>
      <c r="E37" s="5"/>
      <c r="G37" s="7"/>
    </row>
    <row r="38" spans="1:7" x14ac:dyDescent="0.3">
      <c r="A38" s="16"/>
      <c r="C38" s="5"/>
      <c r="D38" s="5"/>
      <c r="E38" s="5"/>
      <c r="G38" s="7"/>
    </row>
    <row r="39" spans="1:7" x14ac:dyDescent="0.3">
      <c r="A39" s="16"/>
      <c r="B39" s="30"/>
      <c r="C39" s="31"/>
      <c r="D39" s="31"/>
      <c r="E39" s="31"/>
      <c r="G39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e9ed43-edf4-4755-925b-76f18f50dbe7}" enabled="0" method="" siteId="{b9e9ed43-edf4-4755-925b-76f18f50db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Paramètres &gt;</vt:lpstr>
      <vt:lpstr>Plan SYSCOHADA</vt:lpstr>
      <vt:lpstr>BG COMP</vt:lpstr>
      <vt:lpstr>EFS &gt;</vt:lpstr>
      <vt:lpstr>P&amp;L</vt:lpstr>
      <vt:lpstr>Balance sheet</vt:lpstr>
      <vt:lpstr>Valorisation &gt;</vt:lpstr>
      <vt:lpstr>DCF</vt:lpstr>
      <vt:lpstr>Comparables</vt:lpstr>
      <vt:lpstr>Synthèse</vt:lpstr>
      <vt:lpstr>UPSLIDE_UndoFormatting</vt:lpstr>
      <vt:lpstr>UPSLIDE_Undo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Wilfried Diomande</dc:creator>
  <cp:keywords/>
  <dc:description/>
  <cp:lastModifiedBy>Georges-Alexandre Kakou</cp:lastModifiedBy>
  <cp:revision/>
  <dcterms:created xsi:type="dcterms:W3CDTF">2026-09-25T15:17:49Z</dcterms:created>
  <dcterms:modified xsi:type="dcterms:W3CDTF">2026-09-29T08:37:11Z</dcterms:modified>
  <cp:category/>
  <cp:contentStatus/>
</cp:coreProperties>
</file>