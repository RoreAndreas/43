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ndre.kakou\Documents\Python project\43\DATA\Provider\Analysis\WACC43\"/>
    </mc:Choice>
  </mc:AlternateContent>
  <xr:revisionPtr revIDLastSave="0" documentId="13_ncr:1_{B64C079D-7F7D-4419-A2AB-5CFDEA456393}" xr6:coauthVersionLast="47" xr6:coauthVersionMax="47" xr10:uidLastSave="{00000000-0000-0000-0000-000000000000}"/>
  <bookViews>
    <workbookView xWindow="28690" yWindow="-110" windowWidth="29020" windowHeight="16420" xr2:uid="{F163E413-0CF3-4844-87D4-0DDB130B473F}"/>
  </bookViews>
  <sheets>
    <sheet name="WACC" sheetId="1" r:id="rId1"/>
  </sheets>
  <calcPr calcId="19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1" i="1" l="1"/>
  <c r="C5" i="1"/>
  <c r="C9" i="1"/>
  <c r="C12" i="1"/>
  <c r="C22" i="1"/>
  <c r="C17" i="1"/>
  <c r="C18" i="1"/>
  <c r="C23" i="1"/>
  <c r="C30" i="1"/>
  <c r="C35" i="1"/>
  <c r="C34" i="1"/>
  <c r="C29" i="1"/>
</calcChain>
</file>

<file path=xl/sharedStrings.xml><?xml version="1.0" encoding="utf-8"?>
<sst xmlns="http://schemas.openxmlformats.org/spreadsheetml/2006/main" count="45" uniqueCount="44">
  <si>
    <t>COÛT DES FONDS PROPRES (Ke) EN USD</t>
  </si>
  <si>
    <t>Composante</t>
  </si>
  <si>
    <t>Valeur</t>
  </si>
  <si>
    <t>Taux sans risque US (Rf)</t>
  </si>
  <si>
    <t>Prime de risque pays Burkina Faso (CRP)</t>
  </si>
  <si>
    <t>Taux sans risque local (Rf + CRP)</t>
  </si>
  <si>
    <t>Intégration du risque pays au taux sans risque local</t>
  </si>
  <si>
    <t>Beta non endetté médian comparables (βu)</t>
  </si>
  <si>
    <t>Taux d'IS Burkina Faso (t)</t>
  </si>
  <si>
    <t>Gearing : D/E moyen comparables</t>
  </si>
  <si>
    <t>Beta endetté (βL) = βu × [1 + (1−t) × D/E]</t>
  </si>
  <si>
    <t>Re-leverage Hamada — endettement comparables</t>
  </si>
  <si>
    <t>Prime de risque marché US (ERP mature)</t>
  </si>
  <si>
    <t>Prime de taille (small cap premium)</t>
  </si>
  <si>
    <t>Coût des fonds propres Ke = Rf_local + βL × ERP + Prime taille</t>
  </si>
  <si>
    <t>COÛT DE LA DETTE (Kd) EN USD</t>
  </si>
  <si>
    <t>Idem partie Ke — taux sans risque local</t>
  </si>
  <si>
    <t>Spread de la dette (Damodaran EM)</t>
  </si>
  <si>
    <t>Coût de la dette avant IS Kd_pre = Rf_local + spread</t>
  </si>
  <si>
    <t>Coût de la dette brute (CRP déjà inclus via Rf_local)</t>
  </si>
  <si>
    <t>Coût de la dette après IS Kd = Kd_pre × (1 − t)</t>
  </si>
  <si>
    <t>Économie fiscale (intérêts déductibles)</t>
  </si>
  <si>
    <t>PONDÉRATION WACC EN MONNAIE DU TAUX SANS RISQUE</t>
  </si>
  <si>
    <t>Poids fonds propres E/V = 1 / (1 + D/E)</t>
  </si>
  <si>
    <t>Structure cible comparables</t>
  </si>
  <si>
    <t>Poids dette D/V = (D/E) / (1 + D/E)</t>
  </si>
  <si>
    <t>Complément à 100%</t>
  </si>
  <si>
    <t>WACC monnaie taux sans risque = (E/V) × Ke + (D/V) × Kd</t>
  </si>
  <si>
    <t>Coût moyen pondéré du capital (en monnaie du taux sans risque)</t>
  </si>
  <si>
    <t>TRANSPOSITION USD → XOF (DIFFÉRENTIEL D'INFLATION — FISHER)</t>
  </si>
  <si>
    <t>Inflation long terme États-Unis (π_US)</t>
  </si>
  <si>
    <t>Cleveland Fed — Ten years expected inflation (FM)</t>
  </si>
  <si>
    <t>Inflation long terme Burkina Faso (π_BF)</t>
  </si>
  <si>
    <t>Critère de convergence UEMOA (3% plafond) — FM</t>
  </si>
  <si>
    <t>Différentiel d'inflation (π_BF − π_US)</t>
  </si>
  <si>
    <t>Positif : inflation BF &gt; inflation US ⇒ WACC XOF &gt; WACC monnaie taux sans risque</t>
  </si>
  <si>
    <t>WACC XOF = (1 + WACC_USD) × (1 + π_BF) / (1 + π_US) − 1</t>
  </si>
  <si>
    <t>Équation de Fisher — transposition rigoureuse USD → XOF</t>
  </si>
  <si>
    <t>SYNTHÈSE — TAUX D'ACTUALISATION RETENU</t>
  </si>
  <si>
    <t>WACC monnaie du taux sans risque</t>
  </si>
  <si>
    <t>Base de calcul Damodaran</t>
  </si>
  <si>
    <t>WACC XOF (retenu pour DCF)</t>
  </si>
  <si>
    <t>Devise locale — appliqué aux FCF XOF du DCF</t>
  </si>
  <si>
    <t>Commentaire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</si>
</sst>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9"/>
      <color theme="1"/>
      <name val="Arial"/>
      <family val="2"/>
    </font>
    <font>
      <b/>
      <sz val="9"/>
      <color rgb="FFFFFFFF"/>
      <name val="Arial"/>
      <family val="2"/>
    </font>
    <font>
      <sz val="9"/>
      <color rgb="FF0D1B2A"/>
      <name val="Arial"/>
      <family val="2"/>
    </font>
    <font>
      <sz val="9"/>
      <color rgb="FF008000"/>
      <name val="Arial"/>
      <family val="2"/>
    </font>
    <font>
      <i/>
      <sz val="9"/>
      <color rgb="FF0D1B2A"/>
      <name val="Arial"/>
      <family val="2"/>
    </font>
    <font>
      <b/>
      <sz val="9"/>
      <color rgb="FF0D1B2A"/>
      <name val="Arial"/>
      <family val="2"/>
    </font>
    <font>
      <b/>
      <sz val="9"/>
      <color rgb="FF000000"/>
      <name val="Arial"/>
      <family val="2"/>
    </font>
    <font>
      <b/>
      <i/>
      <sz val="9"/>
      <color rgb="FF0D1B2A"/>
      <name val="Arial"/>
      <family val="2"/>
    </font>
    <font>
      <sz val="9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2C6FAC"/>
        <bgColor rgb="FF3366FF"/>
      </patternFill>
    </fill>
    <fill>
      <patternFill patternType="solid">
        <fgColor rgb="FF1B3A5C"/>
        <bgColor rgb="FF333333"/>
      </patternFill>
    </fill>
    <fill>
      <patternFill patternType="solid">
        <fgColor rgb="FFFFFFFF"/>
        <bgColor rgb="FFF8FAFC"/>
      </patternFill>
    </fill>
    <fill>
      <patternFill patternType="solid">
        <fgColor rgb="FFF8FAFC"/>
        <bgColor rgb="FFF4F6F8"/>
      </patternFill>
    </fill>
    <fill>
      <patternFill patternType="solid">
        <fgColor rgb="FFD6E4F0"/>
        <bgColor rgb="FFF4ECD6"/>
      </patternFill>
    </fill>
    <fill>
      <patternFill patternType="solid">
        <fgColor rgb="FF171C8F"/>
        <bgColor rgb="FFC0C0C0"/>
      </patternFill>
    </fill>
    <fill>
      <patternFill patternType="solid">
        <fgColor rgb="FF27B093"/>
        <bgColor rgb="FF000000"/>
      </patternFill>
    </fill>
    <fill>
      <patternFill patternType="solid">
        <fgColor rgb="FFF4ECD6"/>
        <bgColor rgb="FFF4F6F8"/>
      </patternFill>
    </fill>
  </fills>
  <borders count="4">
    <border>
      <left/>
      <right/>
      <top/>
      <bottom/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3" borderId="2" xfId="0" applyFont="1" applyFill="1" applyBorder="1" applyAlignment="1">
      <alignment horizontal="left" vertical="center" wrapText="1" inden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 indent="1"/>
    </xf>
    <xf numFmtId="10" fontId="3" fillId="4" borderId="2" xfId="0" applyNumberFormat="1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 indent="1"/>
    </xf>
    <xf numFmtId="10" fontId="6" fillId="5" borderId="2" xfId="0" applyNumberFormat="1" applyFont="1" applyFill="1" applyBorder="1" applyAlignment="1">
      <alignment horizontal="right" vertical="center"/>
    </xf>
    <xf numFmtId="0" fontId="7" fillId="4" borderId="2" xfId="0" applyFont="1" applyFill="1" applyBorder="1" applyAlignment="1">
      <alignment horizontal="left" vertical="center" wrapText="1"/>
    </xf>
    <xf numFmtId="2" fontId="3" fillId="4" borderId="2" xfId="0" applyNumberFormat="1" applyFont="1" applyFill="1" applyBorder="1" applyAlignment="1">
      <alignment horizontal="right" vertical="center"/>
    </xf>
    <xf numFmtId="164" fontId="3" fillId="4" borderId="2" xfId="0" applyNumberFormat="1" applyFont="1" applyFill="1" applyBorder="1" applyAlignment="1">
      <alignment horizontal="right" vertical="center"/>
    </xf>
    <xf numFmtId="2" fontId="6" fillId="5" borderId="2" xfId="0" applyNumberFormat="1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left" vertical="center" wrapText="1"/>
    </xf>
    <xf numFmtId="10" fontId="5" fillId="6" borderId="3" xfId="0" applyNumberFormat="1" applyFont="1" applyFill="1" applyBorder="1" applyAlignment="1">
      <alignment horizontal="right" vertical="center"/>
    </xf>
    <xf numFmtId="10" fontId="8" fillId="4" borderId="2" xfId="0" applyNumberFormat="1" applyFont="1" applyFill="1" applyBorder="1" applyAlignment="1">
      <alignment horizontal="right" vertical="center"/>
    </xf>
    <xf numFmtId="164" fontId="8" fillId="4" borderId="2" xfId="0" applyNumberFormat="1" applyFont="1" applyFill="1" applyBorder="1" applyAlignment="1">
      <alignment horizontal="right" vertical="center"/>
    </xf>
    <xf numFmtId="0" fontId="5" fillId="6" borderId="2" xfId="0" applyFont="1" applyFill="1" applyBorder="1" applyAlignment="1">
      <alignment horizontal="left" vertical="center" wrapText="1" indent="1"/>
    </xf>
    <xf numFmtId="10" fontId="6" fillId="6" borderId="2" xfId="0" applyNumberFormat="1" applyFont="1" applyFill="1" applyBorder="1" applyAlignment="1">
      <alignment horizontal="right" vertical="center"/>
    </xf>
    <xf numFmtId="0" fontId="4" fillId="6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left" vertical="center" wrapText="1" indent="1"/>
    </xf>
    <xf numFmtId="10" fontId="5" fillId="9" borderId="3" xfId="0" applyNumberFormat="1" applyFont="1" applyFill="1" applyBorder="1" applyAlignment="1">
      <alignment horizontal="right" vertical="center"/>
    </xf>
    <xf numFmtId="0" fontId="7" fillId="9" borderId="2" xfId="0" applyFont="1" applyFill="1" applyBorder="1" applyAlignment="1">
      <alignment horizontal="left" vertical="center" wrapText="1"/>
    </xf>
    <xf numFmtId="0" fontId="8" fillId="0" borderId="0" xfId="0" applyFont="1"/>
    <xf numFmtId="0" fontId="1" fillId="2" borderId="1" xfId="0" applyFont="1" applyFill="1" applyBorder="1" applyAlignment="1">
      <alignment horizontal="left" vertical="center" indent="1"/>
    </xf>
    <xf numFmtId="0" fontId="1" fillId="7" borderId="1" xfId="0" applyFont="1" applyFill="1" applyBorder="1" applyAlignment="1">
      <alignment horizontal="left" vertical="center" indent="1"/>
    </xf>
    <xf numFmtId="0" fontId="1" fillId="8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CF01D-F0CD-41E7-A39F-CEE351EB235A}">
  <dimension ref="A1:E35"/>
  <sheetViews>
    <sheetView tabSelected="1" workbookViewId="0">
      <selection activeCell="E28" sqref="E28"/>
    </sheetView>
  </sheetViews>
  <sheetFormatPr baseColWidth="10" defaultColWidth="38.296875" defaultRowHeight="11" customHeight="1" x14ac:dyDescent="0.25"/>
  <cols>
    <col min="1" max="1" width="56.296875" bestFit="1" customWidth="1"/>
    <col min="2" max="2" width="3.296875" customWidth="1"/>
    <col min="3" max="3" width="7.09765625" bestFit="1" customWidth="1"/>
    <col min="4" max="4" width="2" customWidth="1"/>
    <col min="5" max="5" width="64.5" customWidth="1"/>
  </cols>
  <sheetData>
    <row r="1" spans="1:5" ht="11" customHeight="1" x14ac:dyDescent="0.25">
      <c r="A1" s="24" t="s">
        <v>0</v>
      </c>
      <c r="B1" s="24"/>
      <c r="C1" s="24"/>
      <c r="D1" s="24"/>
      <c r="E1" s="24"/>
    </row>
    <row r="2" spans="1:5" ht="11" customHeight="1" x14ac:dyDescent="0.25">
      <c r="A2" s="1" t="s">
        <v>1</v>
      </c>
      <c r="B2" s="2"/>
      <c r="C2" s="2" t="s">
        <v>2</v>
      </c>
      <c r="D2" s="2"/>
      <c r="E2" s="3" t="s">
        <v>43</v>
      </c>
    </row>
    <row r="3" spans="1:5" ht="11" customHeight="1" x14ac:dyDescent="0.25">
      <c r="A3" s="4" t="s">
        <v>3</v>
      </c>
      <c r="B3" s="23"/>
      <c r="C3" s="5"/>
      <c r="D3" s="23"/>
      <c r="E3" s="6"/>
    </row>
    <row r="4" spans="1:5" ht="11" customHeight="1" x14ac:dyDescent="0.25">
      <c r="A4" s="4" t="s">
        <v>4</v>
      </c>
      <c r="B4" s="23"/>
      <c r="C4" s="5"/>
      <c r="D4" s="23"/>
      <c r="E4" s="6"/>
    </row>
    <row r="5" spans="1:5" ht="11" customHeight="1" x14ac:dyDescent="0.25">
      <c r="A5" s="7" t="s">
        <v>5</v>
      </c>
      <c r="B5" s="23"/>
      <c r="C5" s="8">
        <f>C3+C4</f>
        <v>0</v>
      </c>
      <c r="D5" s="23"/>
      <c r="E5" s="9" t="s">
        <v>6</v>
      </c>
    </row>
    <row r="6" spans="1:5" ht="11" customHeight="1" x14ac:dyDescent="0.25">
      <c r="A6" s="4" t="s">
        <v>7</v>
      </c>
      <c r="B6" s="23"/>
      <c r="C6" s="10"/>
      <c r="D6" s="23"/>
      <c r="E6" s="6"/>
    </row>
    <row r="7" spans="1:5" ht="11" customHeight="1" x14ac:dyDescent="0.25">
      <c r="A7" s="4" t="s">
        <v>8</v>
      </c>
      <c r="B7" s="23"/>
      <c r="C7" s="5"/>
      <c r="D7" s="23"/>
      <c r="E7" s="6"/>
    </row>
    <row r="8" spans="1:5" ht="11" customHeight="1" x14ac:dyDescent="0.25">
      <c r="A8" s="4" t="s">
        <v>9</v>
      </c>
      <c r="B8" s="23"/>
      <c r="C8" s="11"/>
      <c r="D8" s="23"/>
      <c r="E8" s="6"/>
    </row>
    <row r="9" spans="1:5" ht="11" customHeight="1" x14ac:dyDescent="0.25">
      <c r="A9" s="7" t="s">
        <v>10</v>
      </c>
      <c r="B9" s="23"/>
      <c r="C9" s="12">
        <f>C6*(1+(1-C7)*C8)</f>
        <v>0</v>
      </c>
      <c r="D9" s="23"/>
      <c r="E9" s="6" t="s">
        <v>11</v>
      </c>
    </row>
    <row r="10" spans="1:5" ht="11" customHeight="1" x14ac:dyDescent="0.25">
      <c r="A10" s="4" t="s">
        <v>12</v>
      </c>
      <c r="B10" s="23"/>
      <c r="C10" s="5"/>
      <c r="D10" s="23"/>
      <c r="E10" s="6"/>
    </row>
    <row r="11" spans="1:5" ht="11" customHeight="1" thickBot="1" x14ac:dyDescent="0.3">
      <c r="A11" s="4" t="s">
        <v>13</v>
      </c>
      <c r="B11" s="23"/>
      <c r="C11" s="5"/>
      <c r="D11" s="23"/>
      <c r="E11" s="6"/>
    </row>
    <row r="12" spans="1:5" ht="11" customHeight="1" thickBot="1" x14ac:dyDescent="0.3">
      <c r="A12" s="13" t="s">
        <v>14</v>
      </c>
      <c r="B12" s="23"/>
      <c r="C12" s="14">
        <f>C5+C9*C10+C11</f>
        <v>0</v>
      </c>
      <c r="D12" s="23"/>
      <c r="E12" s="9"/>
    </row>
    <row r="13" spans="1:5" ht="11" customHeight="1" x14ac:dyDescent="0.25">
      <c r="A13" s="23"/>
      <c r="B13" s="23"/>
      <c r="C13" s="23"/>
      <c r="D13" s="23"/>
      <c r="E13" s="23"/>
    </row>
    <row r="14" spans="1:5" ht="11" customHeight="1" x14ac:dyDescent="0.25">
      <c r="A14" s="24" t="s">
        <v>15</v>
      </c>
      <c r="B14" s="24"/>
      <c r="C14" s="24"/>
      <c r="D14" s="24"/>
      <c r="E14" s="24"/>
    </row>
    <row r="15" spans="1:5" ht="11" customHeight="1" x14ac:dyDescent="0.25">
      <c r="A15" s="4" t="s">
        <v>5</v>
      </c>
      <c r="B15" s="23"/>
      <c r="C15" s="15"/>
      <c r="D15" s="23"/>
      <c r="E15" s="6" t="s">
        <v>16</v>
      </c>
    </row>
    <row r="16" spans="1:5" ht="11" customHeight="1" x14ac:dyDescent="0.25">
      <c r="A16" s="4" t="s">
        <v>17</v>
      </c>
      <c r="B16" s="23"/>
      <c r="C16" s="5"/>
      <c r="D16" s="23"/>
      <c r="E16" s="6"/>
    </row>
    <row r="17" spans="1:5" ht="11" customHeight="1" thickBot="1" x14ac:dyDescent="0.3">
      <c r="A17" s="13" t="s">
        <v>18</v>
      </c>
      <c r="B17" s="23"/>
      <c r="C17" s="8">
        <f>C15+C16</f>
        <v>0</v>
      </c>
      <c r="D17" s="23"/>
      <c r="E17" s="9" t="s">
        <v>19</v>
      </c>
    </row>
    <row r="18" spans="1:5" ht="11" customHeight="1" thickBot="1" x14ac:dyDescent="0.3">
      <c r="A18" s="13" t="s">
        <v>20</v>
      </c>
      <c r="B18" s="23"/>
      <c r="C18" s="14">
        <f>C17*(1-C7)</f>
        <v>0</v>
      </c>
      <c r="D18" s="23"/>
      <c r="E18" s="9" t="s">
        <v>21</v>
      </c>
    </row>
    <row r="19" spans="1:5" ht="11" customHeight="1" x14ac:dyDescent="0.25">
      <c r="A19" s="23"/>
      <c r="B19" s="23"/>
      <c r="C19" s="23"/>
      <c r="D19" s="23"/>
      <c r="E19" s="23"/>
    </row>
    <row r="20" spans="1:5" ht="11" customHeight="1" x14ac:dyDescent="0.25">
      <c r="A20" s="24" t="s">
        <v>22</v>
      </c>
      <c r="B20" s="24"/>
      <c r="C20" s="24"/>
      <c r="D20" s="24"/>
      <c r="E20" s="24"/>
    </row>
    <row r="21" spans="1:5" ht="11" customHeight="1" x14ac:dyDescent="0.25">
      <c r="A21" s="4" t="s">
        <v>23</v>
      </c>
      <c r="B21" s="23"/>
      <c r="C21" s="16">
        <f>1/(1+C8)</f>
        <v>1</v>
      </c>
      <c r="D21" s="23"/>
      <c r="E21" s="6" t="s">
        <v>24</v>
      </c>
    </row>
    <row r="22" spans="1:5" ht="11" customHeight="1" thickBot="1" x14ac:dyDescent="0.3">
      <c r="A22" s="4" t="s">
        <v>25</v>
      </c>
      <c r="B22" s="23"/>
      <c r="C22" s="16">
        <f>C8/(1+C8)</f>
        <v>0</v>
      </c>
      <c r="D22" s="23"/>
      <c r="E22" s="6" t="s">
        <v>26</v>
      </c>
    </row>
    <row r="23" spans="1:5" ht="11" customHeight="1" thickBot="1" x14ac:dyDescent="0.3">
      <c r="A23" s="13" t="s">
        <v>27</v>
      </c>
      <c r="B23" s="23"/>
      <c r="C23" s="14">
        <f>C21*C12+C22*C18</f>
        <v>0</v>
      </c>
      <c r="D23" s="23"/>
      <c r="E23" s="9" t="s">
        <v>28</v>
      </c>
    </row>
    <row r="24" spans="1:5" ht="11" customHeight="1" x14ac:dyDescent="0.25">
      <c r="A24" s="23"/>
      <c r="B24" s="23"/>
      <c r="C24" s="23"/>
      <c r="D24" s="23"/>
      <c r="E24" s="23"/>
    </row>
    <row r="25" spans="1:5" ht="11" customHeight="1" x14ac:dyDescent="0.25">
      <c r="A25" s="23"/>
      <c r="B25" s="23"/>
      <c r="C25" s="23"/>
      <c r="D25" s="23"/>
      <c r="E25" s="23"/>
    </row>
    <row r="26" spans="1:5" ht="11" customHeight="1" x14ac:dyDescent="0.25">
      <c r="A26" s="25" t="s">
        <v>29</v>
      </c>
      <c r="B26" s="25"/>
      <c r="C26" s="25"/>
      <c r="D26" s="25"/>
      <c r="E26" s="25"/>
    </row>
    <row r="27" spans="1:5" ht="11" customHeight="1" x14ac:dyDescent="0.25">
      <c r="A27" s="4" t="s">
        <v>30</v>
      </c>
      <c r="B27" s="23"/>
      <c r="C27" s="5"/>
      <c r="D27" s="23"/>
      <c r="E27" s="6" t="s">
        <v>31</v>
      </c>
    </row>
    <row r="28" spans="1:5" ht="11" customHeight="1" x14ac:dyDescent="0.25">
      <c r="A28" s="4" t="s">
        <v>32</v>
      </c>
      <c r="B28" s="23"/>
      <c r="C28" s="5"/>
      <c r="D28" s="23"/>
      <c r="E28" s="6" t="s">
        <v>33</v>
      </c>
    </row>
    <row r="29" spans="1:5" ht="11" customHeight="1" thickBot="1" x14ac:dyDescent="0.3">
      <c r="A29" s="13" t="s">
        <v>34</v>
      </c>
      <c r="B29" s="23"/>
      <c r="C29" s="8">
        <f>C28-C27</f>
        <v>0</v>
      </c>
      <c r="D29" s="23"/>
      <c r="E29" s="9" t="s">
        <v>35</v>
      </c>
    </row>
    <row r="30" spans="1:5" ht="11" customHeight="1" thickBot="1" x14ac:dyDescent="0.3">
      <c r="A30" s="13" t="s">
        <v>36</v>
      </c>
      <c r="B30" s="23"/>
      <c r="C30" s="14">
        <f>(1+C23)*(1+C28)/(1+C27)-1</f>
        <v>0</v>
      </c>
      <c r="D30" s="23"/>
      <c r="E30" s="9" t="s">
        <v>37</v>
      </c>
    </row>
    <row r="31" spans="1:5" ht="11" customHeight="1" x14ac:dyDescent="0.25">
      <c r="A31" s="23"/>
      <c r="B31" s="23"/>
      <c r="C31" s="23"/>
      <c r="D31" s="23"/>
      <c r="E31" s="23"/>
    </row>
    <row r="32" spans="1:5" ht="11" customHeight="1" x14ac:dyDescent="0.25">
      <c r="A32" s="23"/>
      <c r="B32" s="23"/>
      <c r="C32" s="23"/>
      <c r="D32" s="23"/>
      <c r="E32" s="23"/>
    </row>
    <row r="33" spans="1:5" ht="11" customHeight="1" x14ac:dyDescent="0.25">
      <c r="A33" s="26" t="s">
        <v>38</v>
      </c>
      <c r="B33" s="26"/>
      <c r="C33" s="26"/>
      <c r="D33" s="26"/>
      <c r="E33" s="26"/>
    </row>
    <row r="34" spans="1:5" ht="11" customHeight="1" thickBot="1" x14ac:dyDescent="0.3">
      <c r="A34" s="17" t="s">
        <v>39</v>
      </c>
      <c r="B34" s="23"/>
      <c r="C34" s="18">
        <f>C23</f>
        <v>0</v>
      </c>
      <c r="D34" s="23"/>
      <c r="E34" s="19" t="s">
        <v>40</v>
      </c>
    </row>
    <row r="35" spans="1:5" ht="11" customHeight="1" thickBot="1" x14ac:dyDescent="0.3">
      <c r="A35" s="20" t="s">
        <v>41</v>
      </c>
      <c r="B35" s="23"/>
      <c r="C35" s="21">
        <f>C30</f>
        <v>0</v>
      </c>
      <c r="D35" s="23"/>
      <c r="E35" s="22" t="s">
        <v>42</v>
      </c>
    </row>
  </sheetData>
  <mergeCells count="5">
    <mergeCell ref="A1:E1"/>
    <mergeCell ref="A14:E14"/>
    <mergeCell ref="A20:E20"/>
    <mergeCell ref="A26:E26"/>
    <mergeCell ref="A33:E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Georges-Alexandre Kakou</dc:creator>
  <cp:lastModifiedBy>Georges-Alexandre Kakou</cp:lastModifiedBy>
  <dcterms:created xsi:type="dcterms:W3CDTF">2026-08-27T17:19:50Z</dcterms:created>
  <dcterms:modified xsi:type="dcterms:W3CDTF">2026-08-27T17:26:23Z</dcterms:modified>
</cp:coreProperties>
</file>