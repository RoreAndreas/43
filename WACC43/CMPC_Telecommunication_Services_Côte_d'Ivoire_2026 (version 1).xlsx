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andre.kakou\Desktop\"/>
    </mc:Choice>
  </mc:AlternateContent>
  <xr:revisionPtr revIDLastSave="0" documentId="8_{8368F47F-23F6-4E66-8491-4D05930466CE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WACC" sheetId="1" r:id="rId1"/>
    <sheet name="Sociétés" sheetId="2" r:id="rId2"/>
    <sheet name="UPSLIDE_UndoFormatting" sheetId="4" state="hidden" r:id="rId3"/>
    <sheet name="UPSLIDE_Undo" sheetId="3" state="hidden" r:id="rId4"/>
  </sheets>
  <definedNames>
    <definedName name="_UNDO_UPS_" hidden="1">Sociétés!$B$24:$O$24</definedName>
    <definedName name="_UNDO_UPS_SEL_" hidden="1">Sociétés!$B$24:$O$24</definedName>
    <definedName name="_UNDO31X31X_" hidden="1">Sociétés!$B$24:$O$24</definedName>
  </definedNames>
  <calcPr calcId="191029" calcOnSave="0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5" i="1"/>
  <c r="C9" i="1"/>
  <c r="C12" i="1"/>
  <c r="C22" i="1"/>
  <c r="C15" i="1"/>
  <c r="C17" i="1"/>
  <c r="C18" i="1"/>
  <c r="C23" i="1"/>
  <c r="C30" i="1"/>
  <c r="C35" i="1"/>
  <c r="C34" i="1"/>
  <c r="C29" i="1"/>
</calcChain>
</file>

<file path=xl/sharedStrings.xml><?xml version="1.0" encoding="utf-8"?>
<sst xmlns="http://schemas.openxmlformats.org/spreadsheetml/2006/main" count="82" uniqueCount="79">
  <si>
    <t>COÛT DES FONDS PROPRES (Ke) EN USD</t>
  </si>
  <si>
    <t>Composante</t>
  </si>
  <si>
    <t>Valeur</t>
  </si>
  <si>
    <t>Commentaire</t>
  </si>
  <si>
    <t>Taux sans risque US (Rf)</t>
  </si>
  <si>
    <t>US Treasury 10Y, moyenne 2026 (home.treasury.gov)</t>
  </si>
  <si>
    <t>Prime de risque pays Côte d'Ivoire (CRP)</t>
  </si>
  <si>
    <t>Damodaran, ctryprem.xlsx — prime de risque pays Côte d'Ivoire</t>
  </si>
  <si>
    <t>Taux sans risque local (Rf + CRP)</t>
  </si>
  <si>
    <t>Intégration du risque pays au taux sans risque local</t>
  </si>
  <si>
    <t>Beta non endetté médian comparables (βu)</t>
  </si>
  <si>
    <t>Médiane des bêtas cotés à trois ans du secteur Telecommunication Services, BRVM (3 sociétés), désendettée au gearing de l'échantillon (0,15)</t>
  </si>
  <si>
    <t>Taux d'IS Côte d'Ivoire (t)</t>
  </si>
  <si>
    <t>Damodaran, countrytaxrates.xls — taux d'IS Côte d'Ivoire</t>
  </si>
  <si>
    <t>Gearing : D/E moyen comparables</t>
  </si>
  <si>
    <t>Gearing médian du secteur, BRVM</t>
  </si>
  <si>
    <t>Beta endetté (βL) = βu × [1 + (1−t) × D/E]</t>
  </si>
  <si>
    <t>Re-leverage Hamada — endettement de l'échantillon</t>
  </si>
  <si>
    <t>Prime de risque marché US (ERP mature)</t>
  </si>
  <si>
    <t>Damodaran, ctryprem.xlsx — prime de risque des marchés matures (cellule E3)</t>
  </si>
  <si>
    <t>Prime de taille (small cap premium)</t>
  </si>
  <si>
    <t>Prime de taille + prime spécifique, saisies dans l'onglet Paramètres</t>
  </si>
  <si>
    <t>Coût des fonds propres Ke = Rf_local + βL × ERP + Prime taille</t>
  </si>
  <si>
    <t>COÛT DE LA DETTE (Kd) EN USD</t>
  </si>
  <si>
    <t>Idem partie Ke — taux sans risque local</t>
  </si>
  <si>
    <t>Spread de la dette (Damodaran EM)</t>
  </si>
  <si>
    <t>Dette supposée levée au taux souverain : aucun spread de crédit n'est publié sous ce référentiel</t>
  </si>
  <si>
    <t>Coût de la dette avant IS Kd_pre = Rf_local + spread</t>
  </si>
  <si>
    <t>Coût de la dette brute (CRP déjà inclus via Rf_local)</t>
  </si>
  <si>
    <t>Coût de la dette après IS Kd = Kd_pre × (1 − t)</t>
  </si>
  <si>
    <t>Économie fiscale (intérêts déductibles)</t>
  </si>
  <si>
    <t>PONDÉRATION WACC EN MONNAIE DU TAUX SANS RISQUE</t>
  </si>
  <si>
    <t>Poids fonds propres E/V = 1 / (1 + D/E)</t>
  </si>
  <si>
    <t>Structure cible de l'échantillon</t>
  </si>
  <si>
    <t>Poids dette D/V = (D/E) / (1 + D/E)</t>
  </si>
  <si>
    <t>Complément à 100%</t>
  </si>
  <si>
    <t>WACC monnaie taux sans risque = (E/V) × Ke + (D/V) × Kd</t>
  </si>
  <si>
    <t>Coût moyen pondéré du capital (en monnaie du taux sans risque)</t>
  </si>
  <si>
    <t>TRANSPOSITION USD → MONNAIE LOCALE (DIFFÉRENTIEL D'INFLATION — FISHER)</t>
  </si>
  <si>
    <t>Inflation long terme États-Unis (π_US)</t>
  </si>
  <si>
    <t>Saisie dans l'onglet Paramètres (ex. Cleveland Fed — Ten years expected inflation)</t>
  </si>
  <si>
    <t>Inflation long terme Côte d'Ivoire (π_loc)</t>
  </si>
  <si>
    <t>Saisie dans l'onglet Paramètres (ex. critère de convergence UEMOA, 3 % plafond)</t>
  </si>
  <si>
    <t>Différentiel d'inflation (π_loc − π_US)</t>
  </si>
  <si>
    <t>Positif : inflation locale &gt; inflation US ⇒ CMPC local &gt; CMPC en monnaie du taux sans risque</t>
  </si>
  <si>
    <t>WACC monnaie locale = (1 + WACC_USD) × (1 + π_loc) / (1 + π_US) − 1</t>
  </si>
  <si>
    <t>Équation de Fisher — transposition rigoureuse USD → monnaie locale</t>
  </si>
  <si>
    <t>SYNTHÈSE — TAUX D'ACTUALISATION RETENU</t>
  </si>
  <si>
    <t>WACC monnaie du taux sans risque</t>
  </si>
  <si>
    <t>Référentiel Comparables — Telecommunication Services, Côte d'Ivoire, exercice 2026</t>
  </si>
  <si>
    <t>WACC en monnaie locale (retenu pour DCF)</t>
  </si>
  <si>
    <t>Devise locale — à appliquer aux flux du DCF exprimés dans cette monnaie</t>
  </si>
  <si>
    <t>Société</t>
  </si>
  <si>
    <t>Ticker</t>
  </si>
  <si>
    <t>Place</t>
  </si>
  <si>
    <t>Pays</t>
  </si>
  <si>
    <t>Capitalisation</t>
  </si>
  <si>
    <t>Dette totale</t>
  </si>
  <si>
    <t>Dette / capi (D/E)</t>
  </si>
  <si>
    <t>Bêta 1 an</t>
  </si>
  <si>
    <t>Bêta 3 ans</t>
  </si>
  <si>
    <t>Chiffre d'affaires 2025</t>
  </si>
  <si>
    <t>EBITDA 2025</t>
  </si>
  <si>
    <t>Marge d'EBITDA</t>
  </si>
  <si>
    <t>VE 2025</t>
  </si>
  <si>
    <t>VE / EBITDA</t>
  </si>
  <si>
    <t>Min</t>
  </si>
  <si>
    <t>Moy</t>
  </si>
  <si>
    <t>Médiane</t>
  </si>
  <si>
    <t>Max</t>
  </si>
  <si>
    <t>Source: Capital IQ Pro | 43WACC</t>
  </si>
  <si>
    <t xml:space="preserve"> S&amp;P ne publie pas d'EBITDA pour les banques et les assureurs : leurs multiples restent vides.</t>
  </si>
  <si>
    <t>Comparables boursiers</t>
  </si>
  <si>
    <t>Paramètres</t>
  </si>
  <si>
    <t>Continent</t>
  </si>
  <si>
    <t>Zone</t>
  </si>
  <si>
    <t>Industrie</t>
  </si>
  <si>
    <t>Intitulé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</si>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</sst>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&quot;x&quot;"/>
  </numFmts>
  <fonts count="13" x14ac:knownFonts="1">
    <font>
      <sz val="9"/>
      <color rgb="FF0D1B2A"/>
      <name val="Arial"/>
    </font>
    <font>
      <b/>
      <sz val="9"/>
      <color rgb="FFFFFFFF"/>
      <name val="Arial"/>
    </font>
    <font>
      <b/>
      <sz val="9"/>
      <color rgb="FF0D1B2A"/>
      <name val="Arial"/>
    </font>
    <font>
      <sz val="9"/>
      <color rgb="FF008000"/>
      <name val="Arial"/>
    </font>
    <font>
      <b/>
      <sz val="9"/>
      <color rgb="FF000000"/>
      <name val="Arial"/>
    </font>
    <font>
      <i/>
      <sz val="9"/>
      <color rgb="FF0D1B2A"/>
      <name val="Arial"/>
    </font>
    <font>
      <b/>
      <i/>
      <sz val="9"/>
      <color rgb="FF0D1B2A"/>
      <name val="Arial"/>
    </font>
    <font>
      <sz val="9"/>
      <color rgb="FF000000"/>
      <name val="Arial"/>
    </font>
    <font>
      <b/>
      <sz val="9"/>
      <color rgb="FFFFFFFF"/>
      <name val="Arial"/>
      <family val="2"/>
    </font>
    <font>
      <sz val="9"/>
      <color rgb="FF171C8F"/>
      <name val="Arial"/>
      <family val="2"/>
    </font>
    <font>
      <sz val="6"/>
      <color rgb="FF727578"/>
      <name val="Arial"/>
      <family val="2"/>
    </font>
    <font>
      <sz val="9"/>
      <color rgb="FF464B4B"/>
      <name val="Arial"/>
      <family val="2"/>
    </font>
    <font>
      <b/>
      <sz val="9"/>
      <color rgb="FF464B4B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C6FAC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4ECD6"/>
        <bgColor indexed="64"/>
      </patternFill>
    </fill>
    <fill>
      <patternFill patternType="solid">
        <fgColor rgb="FF171C8F"/>
        <bgColor indexed="64"/>
      </patternFill>
    </fill>
    <fill>
      <patternFill patternType="solid">
        <fgColor rgb="FF27B093"/>
        <bgColor indexed="64"/>
      </patternFill>
    </fill>
    <fill>
      <patternFill patternType="solid">
        <fgColor rgb="FF26517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65173"/>
      </left>
      <right style="thin">
        <color rgb="FF265173"/>
      </right>
      <top style="thin">
        <color rgb="FF265173"/>
      </top>
      <bottom style="thin">
        <color rgb="FF265173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265173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0" fontId="2" fillId="6" borderId="2" xfId="0" applyNumberFormat="1" applyFont="1" applyFill="1" applyBorder="1" applyAlignment="1">
      <alignment horizontal="right" vertical="center"/>
    </xf>
    <xf numFmtId="10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10" fontId="4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10" fontId="2" fillId="7" borderId="2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right" vertical="center"/>
    </xf>
    <xf numFmtId="2" fontId="0" fillId="4" borderId="0" xfId="0" applyNumberFormat="1" applyFill="1" applyBorder="1" applyAlignment="1">
      <alignment horizontal="right" vertical="center"/>
    </xf>
    <xf numFmtId="165" fontId="0" fillId="4" borderId="0" xfId="0" applyNumberFormat="1" applyFill="1" applyBorder="1" applyAlignment="1">
      <alignment horizontal="right" vertical="center"/>
    </xf>
    <xf numFmtId="164" fontId="0" fillId="4" borderId="0" xfId="0" applyNumberFormat="1" applyFill="1" applyBorder="1" applyAlignment="1">
      <alignment horizontal="right" vertical="center"/>
    </xf>
    <xf numFmtId="166" fontId="0" fillId="4" borderId="0" xfId="0" applyNumberFormat="1" applyFill="1" applyBorder="1" applyAlignment="1">
      <alignment horizontal="right" vertical="center"/>
    </xf>
    <xf numFmtId="0" fontId="9" fillId="0" borderId="0" xfId="0" applyFont="1"/>
    <xf numFmtId="0" fontId="9" fillId="11" borderId="0" xfId="0" applyFont="1" applyFill="1"/>
    <xf numFmtId="0" fontId="10" fillId="0" borderId="5" xfId="0" applyFont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3" fontId="11" fillId="4" borderId="0" xfId="0" applyNumberFormat="1" applyFont="1" applyFill="1" applyBorder="1" applyAlignment="1">
      <alignment horizontal="right" vertical="center"/>
    </xf>
    <xf numFmtId="2" fontId="11" fillId="4" borderId="0" xfId="0" applyNumberFormat="1" applyFont="1" applyFill="1" applyBorder="1" applyAlignment="1">
      <alignment horizontal="right" vertical="center"/>
    </xf>
    <xf numFmtId="165" fontId="11" fillId="4" borderId="0" xfId="0" applyNumberFormat="1" applyFont="1" applyFill="1" applyBorder="1" applyAlignment="1">
      <alignment horizontal="right" vertical="center"/>
    </xf>
    <xf numFmtId="164" fontId="11" fillId="4" borderId="0" xfId="0" applyNumberFormat="1" applyFont="1" applyFill="1" applyBorder="1" applyAlignment="1">
      <alignment horizontal="right" vertical="center"/>
    </xf>
    <xf numFmtId="166" fontId="11" fillId="4" borderId="0" xfId="0" applyNumberFormat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righ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0" fillId="1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workbookViewId="0">
      <selection activeCell="C18" sqref="C18"/>
    </sheetView>
  </sheetViews>
  <sheetFormatPr baseColWidth="10" defaultColWidth="8.796875" defaultRowHeight="11.5" x14ac:dyDescent="0.25"/>
  <cols>
    <col min="1" max="1" width="56.296875" customWidth="1"/>
    <col min="2" max="2" width="3.296875" customWidth="1"/>
    <col min="3" max="3" width="7.09765625" customWidth="1"/>
    <col min="4" max="4" width="2" customWidth="1"/>
    <col min="5" max="5" width="64.5" customWidth="1"/>
  </cols>
  <sheetData>
    <row r="1" spans="1:5" x14ac:dyDescent="0.25">
      <c r="A1" s="22" t="s">
        <v>0</v>
      </c>
      <c r="B1" s="22"/>
      <c r="C1" s="22"/>
      <c r="D1" s="22"/>
      <c r="E1" s="22"/>
    </row>
    <row r="2" spans="1:5" x14ac:dyDescent="0.25">
      <c r="A2" s="1" t="s">
        <v>1</v>
      </c>
      <c r="C2" s="2" t="s">
        <v>2</v>
      </c>
      <c r="E2" s="1" t="s">
        <v>3</v>
      </c>
    </row>
    <row r="3" spans="1:5" ht="12" x14ac:dyDescent="0.25">
      <c r="A3" s="3" t="s">
        <v>4</v>
      </c>
      <c r="C3" s="5">
        <v>4.3943373494000001E-2</v>
      </c>
      <c r="E3" s="13" t="s">
        <v>5</v>
      </c>
    </row>
    <row r="4" spans="1:5" ht="12" x14ac:dyDescent="0.25">
      <c r="A4" s="3" t="s">
        <v>6</v>
      </c>
      <c r="C4" s="5">
        <v>3.8952503854600001E-2</v>
      </c>
      <c r="E4" s="13" t="s">
        <v>7</v>
      </c>
    </row>
    <row r="5" spans="1:5" x14ac:dyDescent="0.25">
      <c r="A5" s="4" t="s">
        <v>8</v>
      </c>
      <c r="C5" s="8">
        <f>C3+C4</f>
        <v>8.2895877348600003E-2</v>
      </c>
      <c r="E5" s="14" t="s">
        <v>9</v>
      </c>
    </row>
    <row r="6" spans="1:5" ht="24" x14ac:dyDescent="0.25">
      <c r="A6" s="3" t="s">
        <v>10</v>
      </c>
      <c r="C6" s="7">
        <v>0.106036839511</v>
      </c>
      <c r="E6" s="13" t="s">
        <v>11</v>
      </c>
    </row>
    <row r="7" spans="1:5" ht="12" x14ac:dyDescent="0.25">
      <c r="A7" s="3" t="s">
        <v>12</v>
      </c>
      <c r="C7" s="5">
        <v>0.25</v>
      </c>
      <c r="E7" s="13" t="s">
        <v>13</v>
      </c>
    </row>
    <row r="8" spans="1:5" ht="12" x14ac:dyDescent="0.25">
      <c r="A8" s="3" t="s">
        <v>14</v>
      </c>
      <c r="C8" s="6">
        <v>0.1542</v>
      </c>
      <c r="E8" s="13" t="s">
        <v>15</v>
      </c>
    </row>
    <row r="9" spans="1:5" ht="12" x14ac:dyDescent="0.25">
      <c r="A9" s="4" t="s">
        <v>16</v>
      </c>
      <c r="C9" s="9">
        <f>C6*(1+(1-C7)*C8)</f>
        <v>0.11830000000044716</v>
      </c>
      <c r="E9" s="13" t="s">
        <v>17</v>
      </c>
    </row>
    <row r="10" spans="1:5" ht="24" x14ac:dyDescent="0.25">
      <c r="A10" s="3" t="s">
        <v>18</v>
      </c>
      <c r="C10" s="5">
        <v>4.2299999999999997E-2</v>
      </c>
      <c r="E10" s="13" t="s">
        <v>19</v>
      </c>
    </row>
    <row r="11" spans="1:5" ht="12" x14ac:dyDescent="0.25">
      <c r="A11" s="3" t="s">
        <v>20</v>
      </c>
      <c r="C11" s="5">
        <v>3.5000000000000003E-2</v>
      </c>
      <c r="E11" s="13" t="s">
        <v>21</v>
      </c>
    </row>
    <row r="12" spans="1:5" x14ac:dyDescent="0.25">
      <c r="A12" s="4" t="s">
        <v>22</v>
      </c>
      <c r="C12" s="10">
        <f>C5+C9*C10+C11</f>
        <v>0.12289996734861892</v>
      </c>
    </row>
    <row r="14" spans="1:5" x14ac:dyDescent="0.25">
      <c r="A14" s="22" t="s">
        <v>23</v>
      </c>
      <c r="B14" s="22"/>
      <c r="C14" s="22"/>
      <c r="D14" s="22"/>
      <c r="E14" s="22"/>
    </row>
    <row r="15" spans="1:5" ht="12" x14ac:dyDescent="0.25">
      <c r="A15" s="3" t="s">
        <v>8</v>
      </c>
      <c r="C15" s="11">
        <f>C5</f>
        <v>8.2895877348600003E-2</v>
      </c>
      <c r="E15" s="13" t="s">
        <v>24</v>
      </c>
    </row>
    <row r="16" spans="1:5" ht="24" x14ac:dyDescent="0.25">
      <c r="A16" s="3" t="s">
        <v>25</v>
      </c>
      <c r="C16" s="5">
        <v>0</v>
      </c>
      <c r="E16" s="13" t="s">
        <v>26</v>
      </c>
    </row>
    <row r="17" spans="1:5" x14ac:dyDescent="0.25">
      <c r="A17" s="4" t="s">
        <v>27</v>
      </c>
      <c r="C17" s="8">
        <f>C15+C16</f>
        <v>8.2895877348600003E-2</v>
      </c>
      <c r="E17" s="14" t="s">
        <v>28</v>
      </c>
    </row>
    <row r="18" spans="1:5" x14ac:dyDescent="0.25">
      <c r="A18" s="4" t="s">
        <v>29</v>
      </c>
      <c r="C18" s="10">
        <f>C17*(1-C7)</f>
        <v>6.2171908011450006E-2</v>
      </c>
      <c r="E18" s="14" t="s">
        <v>30</v>
      </c>
    </row>
    <row r="20" spans="1:5" x14ac:dyDescent="0.25">
      <c r="A20" s="22" t="s">
        <v>31</v>
      </c>
      <c r="B20" s="22"/>
      <c r="C20" s="22"/>
      <c r="D20" s="22"/>
      <c r="E20" s="22"/>
    </row>
    <row r="21" spans="1:5" ht="12" x14ac:dyDescent="0.25">
      <c r="A21" s="3" t="s">
        <v>32</v>
      </c>
      <c r="C21" s="12">
        <f>1/(1+C8)</f>
        <v>0.86640097036908692</v>
      </c>
      <c r="E21" s="13" t="s">
        <v>33</v>
      </c>
    </row>
    <row r="22" spans="1:5" ht="12" x14ac:dyDescent="0.25">
      <c r="A22" s="3" t="s">
        <v>34</v>
      </c>
      <c r="C22" s="12">
        <f>C8/(1+C8)</f>
        <v>0.13359902963091319</v>
      </c>
      <c r="E22" s="13" t="s">
        <v>35</v>
      </c>
    </row>
    <row r="23" spans="1:5" x14ac:dyDescent="0.25">
      <c r="A23" s="4" t="s">
        <v>36</v>
      </c>
      <c r="C23" s="10">
        <f>C21*C12+C22*C18</f>
        <v>0.11478675754980465</v>
      </c>
      <c r="E23" s="14" t="s">
        <v>37</v>
      </c>
    </row>
    <row r="26" spans="1:5" x14ac:dyDescent="0.25">
      <c r="A26" s="24" t="s">
        <v>38</v>
      </c>
      <c r="B26" s="24"/>
      <c r="C26" s="24"/>
      <c r="D26" s="24"/>
      <c r="E26" s="24"/>
    </row>
    <row r="27" spans="1:5" ht="24" x14ac:dyDescent="0.25">
      <c r="A27" s="3" t="s">
        <v>39</v>
      </c>
      <c r="C27" s="5">
        <v>2.5000000000000001E-2</v>
      </c>
      <c r="E27" s="13" t="s">
        <v>40</v>
      </c>
    </row>
    <row r="28" spans="1:5" ht="24" x14ac:dyDescent="0.25">
      <c r="A28" s="3" t="s">
        <v>41</v>
      </c>
      <c r="C28" s="5">
        <v>0.03</v>
      </c>
      <c r="E28" s="13" t="s">
        <v>42</v>
      </c>
    </row>
    <row r="29" spans="1:5" ht="23" x14ac:dyDescent="0.25">
      <c r="A29" s="4" t="s">
        <v>43</v>
      </c>
      <c r="C29" s="8">
        <f>C28-C27</f>
        <v>4.9999999999999975E-3</v>
      </c>
      <c r="E29" s="14" t="s">
        <v>44</v>
      </c>
    </row>
    <row r="30" spans="1:5" ht="23" x14ac:dyDescent="0.25">
      <c r="A30" s="4" t="s">
        <v>45</v>
      </c>
      <c r="C30" s="10">
        <f>(1+C23)*(1+C28)/(1+C27)-1</f>
        <v>0.1202247417329747</v>
      </c>
      <c r="E30" s="14" t="s">
        <v>46</v>
      </c>
    </row>
    <row r="33" spans="1:5" x14ac:dyDescent="0.25">
      <c r="A33" s="25" t="s">
        <v>47</v>
      </c>
      <c r="B33" s="25"/>
      <c r="C33" s="25"/>
      <c r="D33" s="25"/>
      <c r="E33" s="25"/>
    </row>
    <row r="34" spans="1:5" ht="24" x14ac:dyDescent="0.25">
      <c r="A34" s="15" t="s">
        <v>48</v>
      </c>
      <c r="C34" s="16">
        <f>C23</f>
        <v>0.11478675754980465</v>
      </c>
      <c r="E34" s="17" t="s">
        <v>49</v>
      </c>
    </row>
    <row r="35" spans="1:5" ht="23" x14ac:dyDescent="0.25">
      <c r="A35" s="18" t="s">
        <v>50</v>
      </c>
      <c r="C35" s="19">
        <f>C30</f>
        <v>0.1202247417329747</v>
      </c>
      <c r="E35" s="20" t="s">
        <v>51</v>
      </c>
    </row>
  </sheetData>
  <mergeCells count="5">
    <mergeCell ref="A1:E1"/>
    <mergeCell ref="A14:E14"/>
    <mergeCell ref="A20:E20"/>
    <mergeCell ref="A26:E26"/>
    <mergeCell ref="A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4"/>
  <sheetViews>
    <sheetView showGridLines="0" tabSelected="1" zoomScale="85" zoomScaleNormal="85" workbookViewId="0">
      <selection activeCell="C18" sqref="C18"/>
    </sheetView>
  </sheetViews>
  <sheetFormatPr baseColWidth="10" defaultColWidth="8.796875" defaultRowHeight="11.5" x14ac:dyDescent="0.25"/>
  <cols>
    <col min="1" max="1" width="3" customWidth="1"/>
    <col min="2" max="2" width="21.5" bestFit="1" customWidth="1"/>
    <col min="3" max="3" width="10" customWidth="1"/>
    <col min="4" max="4" width="8" customWidth="1"/>
    <col min="5" max="5" width="5.19921875" bestFit="1" customWidth="1"/>
    <col min="6" max="6" width="12.69921875" bestFit="1" customWidth="1"/>
    <col min="7" max="7" width="12.5" customWidth="1"/>
    <col min="8" max="8" width="14.59765625" customWidth="1"/>
    <col min="9" max="10" width="9" customWidth="1"/>
    <col min="11" max="12" width="15" customWidth="1"/>
    <col min="13" max="13" width="11.5" customWidth="1"/>
    <col min="14" max="14" width="14" customWidth="1"/>
    <col min="15" max="15" width="11.5" customWidth="1"/>
  </cols>
  <sheetData>
    <row r="2" spans="2:15" x14ac:dyDescent="0.25">
      <c r="B2" s="21" t="s">
        <v>72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26" customHeight="1" thickBot="1" x14ac:dyDescent="0.3">
      <c r="B3" s="44" t="s">
        <v>52</v>
      </c>
      <c r="C3" s="45" t="s">
        <v>53</v>
      </c>
      <c r="D3" s="45" t="s">
        <v>54</v>
      </c>
      <c r="E3" s="45" t="s">
        <v>55</v>
      </c>
      <c r="F3" s="45" t="s">
        <v>56</v>
      </c>
      <c r="G3" s="45" t="s">
        <v>57</v>
      </c>
      <c r="H3" s="45" t="s">
        <v>58</v>
      </c>
      <c r="I3" s="45" t="s">
        <v>59</v>
      </c>
      <c r="J3" s="45" t="s">
        <v>60</v>
      </c>
      <c r="K3" s="45" t="s">
        <v>61</v>
      </c>
      <c r="L3" s="45" t="s">
        <v>62</v>
      </c>
      <c r="M3" s="45" t="s">
        <v>63</v>
      </c>
      <c r="N3" s="45" t="s">
        <v>64</v>
      </c>
      <c r="O3" s="45" t="s">
        <v>65</v>
      </c>
    </row>
    <row r="4" spans="2:15" x14ac:dyDescent="0.25">
      <c r="B4" s="36" t="s">
        <v>78</v>
      </c>
      <c r="C4" s="42"/>
      <c r="D4" s="42"/>
      <c r="E4" s="42"/>
      <c r="F4" s="37"/>
      <c r="G4" s="37"/>
      <c r="H4" s="38"/>
      <c r="I4" s="39"/>
      <c r="J4" s="39"/>
      <c r="K4" s="37"/>
      <c r="L4" s="37"/>
      <c r="M4" s="40"/>
      <c r="N4" s="37"/>
      <c r="O4" s="41"/>
    </row>
    <row r="5" spans="2:15" x14ac:dyDescent="0.25">
      <c r="B5" s="36" t="s">
        <v>78</v>
      </c>
      <c r="C5" s="42"/>
      <c r="D5" s="42"/>
      <c r="E5" s="42"/>
      <c r="F5" s="37"/>
      <c r="G5" s="37"/>
      <c r="H5" s="38"/>
      <c r="I5" s="39"/>
      <c r="J5" s="39"/>
      <c r="K5" s="37"/>
      <c r="L5" s="37"/>
      <c r="M5" s="40"/>
      <c r="N5" s="37"/>
      <c r="O5" s="41"/>
    </row>
    <row r="6" spans="2:15" x14ac:dyDescent="0.25">
      <c r="B6" s="36" t="s">
        <v>78</v>
      </c>
      <c r="C6" s="42"/>
      <c r="D6" s="42"/>
      <c r="E6" s="42"/>
      <c r="F6" s="37"/>
      <c r="G6" s="37"/>
      <c r="H6" s="38"/>
      <c r="I6" s="39"/>
      <c r="J6" s="39"/>
      <c r="K6" s="37"/>
      <c r="L6" s="37"/>
      <c r="M6" s="40"/>
      <c r="N6" s="37"/>
      <c r="O6" s="41"/>
    </row>
    <row r="7" spans="2:15" x14ac:dyDescent="0.25">
      <c r="B7" s="33" t="s">
        <v>66</v>
      </c>
      <c r="C7" s="27"/>
      <c r="D7" s="27"/>
      <c r="E7" s="26"/>
      <c r="F7" s="28"/>
      <c r="G7" s="28"/>
      <c r="H7" s="29"/>
      <c r="I7" s="30"/>
      <c r="J7" s="30"/>
      <c r="K7" s="28"/>
      <c r="L7" s="28"/>
      <c r="M7" s="31"/>
      <c r="N7" s="28"/>
      <c r="O7" s="32"/>
    </row>
    <row r="8" spans="2:15" x14ac:dyDescent="0.25">
      <c r="B8" s="33" t="s">
        <v>67</v>
      </c>
      <c r="C8" s="27"/>
      <c r="D8" s="27"/>
      <c r="E8" s="26"/>
      <c r="F8" s="28"/>
      <c r="G8" s="28"/>
      <c r="H8" s="29"/>
      <c r="I8" s="30"/>
      <c r="J8" s="30"/>
      <c r="K8" s="28"/>
      <c r="L8" s="28"/>
      <c r="M8" s="31"/>
      <c r="N8" s="28"/>
      <c r="O8" s="32"/>
    </row>
    <row r="9" spans="2:15" x14ac:dyDescent="0.25">
      <c r="B9" s="34" t="s">
        <v>68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2:15" x14ac:dyDescent="0.25">
      <c r="B10" s="33" t="s">
        <v>69</v>
      </c>
    </row>
    <row r="11" spans="2:15" x14ac:dyDescent="0.25">
      <c r="B11" s="35" t="s">
        <v>70</v>
      </c>
    </row>
    <row r="18" spans="2:15" x14ac:dyDescent="0.25">
      <c r="B18" s="21" t="s">
        <v>73</v>
      </c>
      <c r="C18" s="21"/>
    </row>
    <row r="19" spans="2:15" ht="12" thickBot="1" x14ac:dyDescent="0.3">
      <c r="B19" s="44" t="s">
        <v>77</v>
      </c>
      <c r="C19" s="44"/>
    </row>
    <row r="20" spans="2:15" x14ac:dyDescent="0.25">
      <c r="B20" s="36" t="s">
        <v>74</v>
      </c>
      <c r="C20" s="48"/>
    </row>
    <row r="21" spans="2:15" x14ac:dyDescent="0.25">
      <c r="B21" s="36" t="s">
        <v>75</v>
      </c>
      <c r="C21" s="48"/>
    </row>
    <row r="22" spans="2:15" x14ac:dyDescent="0.25">
      <c r="B22" s="36" t="s">
        <v>76</v>
      </c>
      <c r="C22" s="48"/>
    </row>
    <row r="24" spans="2:15" x14ac:dyDescent="0.25">
      <c r="B24" s="46" t="s">
        <v>71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</sheetData>
  <mergeCells count="1">
    <mergeCell ref="B24:O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8E54-342E-4526-9312-7E3802701F87}">
  <dimension ref="A1:O23"/>
  <sheetViews>
    <sheetView workbookViewId="0">
      <selection activeCell="B23" sqref="B23:O23"/>
    </sheetView>
  </sheetViews>
  <sheetFormatPr baseColWidth="10" defaultRowHeight="11.5" x14ac:dyDescent="0.25"/>
  <cols>
    <col min="1" max="1" width="40" customWidth="1"/>
    <col min="2" max="2" width="21.5" bestFit="1" customWidth="1"/>
    <col min="3" max="3" width="10" customWidth="1"/>
    <col min="4" max="4" width="8" customWidth="1"/>
    <col min="5" max="5" width="5.19921875" bestFit="1" customWidth="1"/>
    <col min="6" max="6" width="12.69921875" bestFit="1" customWidth="1"/>
    <col min="7" max="7" width="12.5" customWidth="1"/>
    <col min="8" max="8" width="14.59765625" customWidth="1"/>
    <col min="9" max="10" width="9" customWidth="1"/>
    <col min="11" max="12" width="15" customWidth="1"/>
    <col min="13" max="13" width="11.5" customWidth="1"/>
    <col min="14" max="14" width="14" customWidth="1"/>
    <col min="15" max="15" width="11.5" customWidth="1"/>
  </cols>
  <sheetData>
    <row r="1" spans="1:14" x14ac:dyDescent="0.25">
      <c r="A1">
        <v>23</v>
      </c>
      <c r="B1">
        <v>15</v>
      </c>
    </row>
    <row r="4" spans="1:14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x14ac:dyDescent="0.25">
      <c r="A5" s="26"/>
      <c r="B5" s="27"/>
      <c r="C5" s="27"/>
      <c r="D5" s="26"/>
      <c r="E5" s="28"/>
      <c r="F5" s="28"/>
      <c r="G5" s="29"/>
      <c r="H5" s="30"/>
      <c r="I5" s="30"/>
      <c r="J5" s="28"/>
      <c r="K5" s="28"/>
      <c r="L5" s="31"/>
      <c r="M5" s="28"/>
      <c r="N5" s="32"/>
    </row>
    <row r="6" spans="1:14" x14ac:dyDescent="0.25">
      <c r="A6" s="26"/>
      <c r="B6" s="27"/>
      <c r="C6" s="27"/>
      <c r="D6" s="26"/>
      <c r="E6" s="28"/>
      <c r="F6" s="28"/>
      <c r="G6" s="29"/>
      <c r="H6" s="30"/>
      <c r="I6" s="30"/>
      <c r="J6" s="28"/>
      <c r="K6" s="28"/>
      <c r="L6" s="31"/>
      <c r="M6" s="28"/>
      <c r="N6" s="32"/>
    </row>
    <row r="7" spans="1:14" x14ac:dyDescent="0.25">
      <c r="A7" s="26"/>
      <c r="B7" s="27"/>
      <c r="C7" s="27"/>
      <c r="D7" s="26"/>
      <c r="E7" s="28"/>
      <c r="F7" s="28"/>
      <c r="G7" s="29"/>
      <c r="H7" s="30"/>
      <c r="I7" s="30"/>
      <c r="J7" s="28"/>
      <c r="K7" s="28"/>
      <c r="L7" s="31"/>
      <c r="M7" s="28"/>
      <c r="N7" s="32"/>
    </row>
    <row r="10" spans="1:14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23" spans="2:15" ht="12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</sheetData>
  <mergeCells count="2">
    <mergeCell ref="A10:N10"/>
    <mergeCell ref="B23:O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639E-F125-4CC4-ACCB-AC5F3A73B5DD}">
  <dimension ref="A1:O23"/>
  <sheetViews>
    <sheetView workbookViewId="0">
      <selection activeCell="B23" sqref="B23:O23"/>
    </sheetView>
  </sheetViews>
  <sheetFormatPr baseColWidth="10" defaultRowHeight="11.5" x14ac:dyDescent="0.25"/>
  <cols>
    <col min="1" max="1" width="40" customWidth="1"/>
    <col min="2" max="2" width="21.5" bestFit="1" customWidth="1"/>
    <col min="3" max="3" width="10" customWidth="1"/>
    <col min="4" max="4" width="8" customWidth="1"/>
    <col min="5" max="5" width="5.19921875" bestFit="1" customWidth="1"/>
    <col min="6" max="6" width="12.69921875" bestFit="1" customWidth="1"/>
    <col min="7" max="7" width="12.5" customWidth="1"/>
    <col min="8" max="8" width="14.59765625" customWidth="1"/>
    <col min="9" max="10" width="9" customWidth="1"/>
    <col min="11" max="12" width="15" customWidth="1"/>
    <col min="13" max="13" width="11.5" customWidth="1"/>
    <col min="14" max="14" width="14" customWidth="1"/>
    <col min="15" max="15" width="11.5" customWidth="1"/>
  </cols>
  <sheetData>
    <row r="1" spans="1:14" x14ac:dyDescent="0.25">
      <c r="A1">
        <v>23</v>
      </c>
      <c r="B1">
        <v>15</v>
      </c>
    </row>
    <row r="4" spans="1:14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x14ac:dyDescent="0.25">
      <c r="A5" s="26"/>
      <c r="B5" s="27"/>
      <c r="C5" s="27"/>
      <c r="D5" s="26"/>
      <c r="E5" s="28"/>
      <c r="F5" s="28"/>
      <c r="G5" s="29"/>
      <c r="H5" s="30"/>
      <c r="I5" s="30"/>
      <c r="J5" s="28"/>
      <c r="K5" s="28"/>
      <c r="L5" s="31"/>
      <c r="M5" s="28"/>
      <c r="N5" s="32"/>
    </row>
    <row r="6" spans="1:14" x14ac:dyDescent="0.25">
      <c r="A6" s="26"/>
      <c r="B6" s="27"/>
      <c r="C6" s="27"/>
      <c r="D6" s="26"/>
      <c r="E6" s="28"/>
      <c r="F6" s="28"/>
      <c r="G6" s="29"/>
      <c r="H6" s="30"/>
      <c r="I6" s="30"/>
      <c r="J6" s="28"/>
      <c r="K6" s="28"/>
      <c r="L6" s="31"/>
      <c r="M6" s="28"/>
      <c r="N6" s="32"/>
    </row>
    <row r="7" spans="1:14" x14ac:dyDescent="0.25">
      <c r="A7" s="26"/>
      <c r="B7" s="27"/>
      <c r="C7" s="27"/>
      <c r="D7" s="26"/>
      <c r="E7" s="28"/>
      <c r="F7" s="28"/>
      <c r="G7" s="29"/>
      <c r="H7" s="30"/>
      <c r="I7" s="30"/>
      <c r="J7" s="28"/>
      <c r="K7" s="28"/>
      <c r="L7" s="31"/>
      <c r="M7" s="28"/>
      <c r="N7" s="32"/>
    </row>
    <row r="10" spans="1:14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23" spans="2:15" ht="12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</sheetData>
  <mergeCells count="2">
    <mergeCell ref="A10:N10"/>
    <mergeCell ref="B23:O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WACC</vt:lpstr>
      <vt:lpstr>Sociétés</vt:lpstr>
      <vt:lpstr>UPSLIDE_UndoFormatting</vt:lpstr>
      <vt:lpstr>UPSLIDE_Undo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CMPC Telecommunication Services, Côte d'Ivoire</dc:title>
  <dc:creator>wacc43</dc:creator>
  <cp:lastModifiedBy>Georges-Alexandre Kakou</cp:lastModifiedBy>
  <dcterms:created xsi:type="dcterms:W3CDTF">2026-08-31T14:29:14Z</dcterms:created>
  <dcterms:modified xsi:type="dcterms:W3CDTF">2026-09-03T12:31:15Z</dcterms:modified>
</cp:coreProperties>
</file>