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C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<sst xmlns="http://schemas.openxmlformats.org/spreadsheetml/2006/main" count="53" uniqueCount="52">
  <si>
    <t xml:space="preserve">COÛT DES FONDS PROPRES (Ke) EN USD</t>
  </si>
  <si>
    <t xml:space="preserve">Composante</t>
  </si>
  <si>
    <t xml:space="preserve">Valeur</t>
  </si>
  <si>
    <t xml:space="preserve">Commentaire</t>
  </si>
  <si>
    <t xml:space="preserve">Taux sans risque US (Rf)</t>
  </si>
  <si>
    <t xml:space="preserve">US Treasury 10Y, moyenne 2026 (home.treasury.gov)</t>
  </si>
  <si>
    <t xml:space="preserve">Prime de risque pays Côte d'Ivoire (CRP)</t>
  </si>
  <si>
    <t xml:space="preserve">Damodaran, ctryprem.xlsx — prime de risque pays Côte d'Ivoire</t>
  </si>
  <si>
    <t xml:space="preserve">Taux sans risque local (Rf + CRP)</t>
  </si>
  <si>
    <t xml:space="preserve">Intégration du risque pays au taux sans risque local</t>
  </si>
  <si>
    <t xml:space="preserve">Beta non endetté médian comparables (βu)</t>
  </si>
  <si>
    <t xml:space="preserve">Médiane des bêtas cotés à trois ans du secteur Wireless Telecommunication Services, tous continents (20 sociétés), désendettée au gearing de l'échantillon (0,34)</t>
  </si>
  <si>
    <t xml:space="preserve">Taux d'IS Côte d'Ivoire (t)</t>
  </si>
  <si>
    <t xml:space="preserve">Damodaran, countrytaxrates.xls — taux d'IS Côte d'Ivoire</t>
  </si>
  <si>
    <t xml:space="preserve">Gearing : D/E moyen comparables</t>
  </si>
  <si>
    <t xml:space="preserve">Gearing médian du secteur, tous continents</t>
  </si>
  <si>
    <t xml:space="preserve">Beta endetté (βL) = βu × [1 + (1−t) × D/E]</t>
  </si>
  <si>
    <t xml:space="preserve">Re-leverage Hamada — endettement de l'échantillon</t>
  </si>
  <si>
    <t xml:space="preserve">Prime de risque marché US (ERP mature)</t>
  </si>
  <si>
    <t xml:space="preserve">Damodaran, ctryprem.xlsx — prime de risque des marchés matures (cellule E3)</t>
  </si>
  <si>
    <t xml:space="preserve">Prime de taille (small cap premium)</t>
  </si>
  <si>
    <t xml:space="preserve">Prime de taille + prime spécifique, saisies dans l'onglet Paramètres</t>
  </si>
  <si>
    <t xml:space="preserve">Coût des fonds propres Ke = Rf_local + βL × ERP + Prime taille</t>
  </si>
  <si>
    <t xml:space="preserve">COÛT DE LA DETTE (Kd) EN USD</t>
  </si>
  <si>
    <t xml:space="preserve">Idem partie Ke — taux sans risque local</t>
  </si>
  <si>
    <t xml:space="preserve">Spread de la dette (Damodaran EM)</t>
  </si>
  <si>
    <t xml:space="preserve">Dette supposée levée au taux souverain : aucun spread de crédit n'est publié sous ce référentiel</t>
  </si>
  <si>
    <t xml:space="preserve">Coût de la dette avant IS Kd_pre = Rf_local + spread</t>
  </si>
  <si>
    <t xml:space="preserve">Coût de la dette brute (CRP déjà inclus via Rf_local)</t>
  </si>
  <si>
    <t xml:space="preserve">Coût de la dette après IS Kd = Kd_pre × (1 − t)</t>
  </si>
  <si>
    <t xml:space="preserve">Économie fiscale (intérêts déductibles)</t>
  </si>
  <si>
    <t xml:space="preserve">PONDÉRATION WACC EN MONNAIE DU TAUX SANS RISQUE</t>
  </si>
  <si>
    <t xml:space="preserve">Poids fonds propres E/V = 1 / (1 + D/E)</t>
  </si>
  <si>
    <t xml:space="preserve">Structure cible de l'échantillon</t>
  </si>
  <si>
    <t xml:space="preserve">Poids dette D/V = (D/E) / (1 + D/E)</t>
  </si>
  <si>
    <t xml:space="preserve">Complément à 100%</t>
  </si>
  <si>
    <t xml:space="preserve">WACC monnaie taux sans risque = (E/V) × Ke + (D/V) × Kd</t>
  </si>
  <si>
    <t xml:space="preserve">Coût moyen pondéré du capital (en monnaie du taux sans risque)</t>
  </si>
  <si>
    <t xml:space="preserve">TRANSPOSITION USD → MONNAIE LOCALE (DIFFÉRENTIEL D'INFLATION — FISHER)</t>
  </si>
  <si>
    <t xml:space="preserve">Inflation long terme États-Unis (π_US)</t>
  </si>
  <si>
    <t xml:space="preserve">Saisie dans l'onglet Paramètres (ex. Cleveland Fed — Ten years expected inflation)</t>
  </si>
  <si>
    <t xml:space="preserve">Inflation long terme Côte d'Ivoire (π_loc)</t>
  </si>
  <si>
    <t xml:space="preserve">Saisie dans l'onglet Paramètres (ex. critère de convergence UEMOA, 3 % plafond)</t>
  </si>
  <si>
    <t xml:space="preserve">Différentiel d'inflation (π_loc − π_US)</t>
  </si>
  <si>
    <t xml:space="preserve">Positif : inflation locale &gt; inflation US ⇒ CMPC local &gt; CMPC en monnaie du taux sans risque</t>
  </si>
  <si>
    <t xml:space="preserve">WACC monnaie locale = (1 + WACC_USD) × (1 + π_loc) / (1 + π_US) − 1</t>
  </si>
  <si>
    <t xml:space="preserve">Équation de Fisher — transposition rigoureuse USD → monnaie locale</t>
  </si>
  <si>
    <t xml:space="preserve">SYNTHÈSE — TAUX D'ACTUALISATION RETENU</t>
  </si>
  <si>
    <t xml:space="preserve">WACC monnaie du taux sans risque</t>
  </si>
  <si>
    <t xml:space="preserve">Référentiel Comparables — Wireless Telecommunication Services, Côte d'Ivoire, exercice 2026</t>
  </si>
  <si>
    <t xml:space="preserve">WACC en monnaie locale (retenu pour DCF)</t>
  </si>
  <si>
    <t xml:space="preserve">Devise locale — à appliquer aux flux du DCF exprimés dans cette monnaie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</si>
</sst>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0D1B2A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9"/>
      <color rgb="FF0D1B2A"/>
      <name val="Arial"/>
      <family val="0"/>
      <charset val="1"/>
    </font>
    <font>
      <b val="true"/>
      <sz val="9"/>
      <color rgb="FF0D1B2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i val="true"/>
      <sz val="9"/>
      <color rgb="FF0D1B2A"/>
      <name val="Arial"/>
      <family val="0"/>
      <charset val="1"/>
    </font>
    <font>
      <sz val="9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C6FAC"/>
        <bgColor rgb="FF3366FF"/>
      </patternFill>
    </fill>
    <fill>
      <patternFill patternType="solid">
        <fgColor rgb="FF1B3A5C"/>
        <bgColor rgb="FF333333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D6E4F0"/>
        <bgColor rgb="FFF4ECD6"/>
      </patternFill>
    </fill>
    <fill>
      <patternFill patternType="solid">
        <fgColor rgb="FF171C8F"/>
        <bgColor rgb="FF000080"/>
      </patternFill>
    </fill>
    <fill>
      <patternFill patternType="solid">
        <fgColor rgb="FF27B093"/>
        <bgColor rgb="FF33CCCC"/>
      </patternFill>
    </fill>
    <fill>
      <patternFill patternType="solid">
        <fgColor rgb="FFF4ECD6"/>
        <bgColor rgb="FFF8FA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ECD6"/>
      <rgbColor rgb="FFF8FAFC"/>
      <rgbColor rgb="FF660066"/>
      <rgbColor rgb="FFFF8080"/>
      <rgbColor rgb="FF2C6FA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27B093"/>
      <rgbColor rgb="FF0D1B2A"/>
      <rgbColor rgb="FF333300"/>
      <rgbColor rgb="FF993300"/>
      <rgbColor rgb="FF993366"/>
      <rgbColor rgb="FF171C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.3"/>
    <col collapsed="false" customWidth="true" hidden="false" outlineLevel="0" max="2" min="2" style="0" width="3.3"/>
    <col collapsed="false" customWidth="true" hidden="false" outlineLevel="0" max="3" min="3" style="0" width="7.1"/>
    <col collapsed="false" customWidth="true" hidden="false" outlineLevel="0" max="4" min="4" style="0" width="2"/>
    <col collapsed="false" customWidth="true" hidden="false" outlineLevel="0" max="5" min="5" style="0" width="64.5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C2" s="3" t="s">
        <v>2</v>
      </c>
      <c r="E2" s="2" t="s">
        <v>3</v>
      </c>
    </row>
    <row r="3" customFormat="false" ht="15" hidden="false" customHeight="false" outlineLevel="0" collapsed="false">
      <c r="A3" s="4" t="s">
        <v>4</v>
      </c>
      <c r="C3" s="5" t="n">
        <v>0.043923030303</v>
      </c>
      <c r="E3" s="6" t="s">
        <v>5</v>
      </c>
    </row>
    <row r="4" customFormat="false" ht="15" hidden="false" customHeight="false" outlineLevel="0" collapsed="false">
      <c r="A4" s="4" t="s">
        <v>6</v>
      </c>
      <c r="C4" s="5" t="n">
        <v>0.0389525038546</v>
      </c>
      <c r="E4" s="6" t="s">
        <v>7</v>
      </c>
    </row>
    <row r="5" customFormat="false" ht="15" hidden="false" customHeight="false" outlineLevel="0" collapsed="false">
      <c r="A5" s="7" t="s">
        <v>8</v>
      </c>
      <c r="C5" s="8" t="n">
        <f aca="false">C3+C4</f>
        <v>0.0828755341576</v>
      </c>
      <c r="E5" s="9" t="s">
        <v>9</v>
      </c>
    </row>
    <row r="6" customFormat="false" ht="22.35" hidden="false" customHeight="false" outlineLevel="0" collapsed="false">
      <c r="A6" s="4" t="s">
        <v>10</v>
      </c>
      <c r="C6" s="10" t="n">
        <v>0.255043745755</v>
      </c>
      <c r="E6" s="6" t="s">
        <v>11</v>
      </c>
    </row>
    <row r="7" customFormat="false" ht="15" hidden="false" customHeight="false" outlineLevel="0" collapsed="false">
      <c r="A7" s="4" t="s">
        <v>12</v>
      </c>
      <c r="C7" s="5" t="n">
        <v>0.25</v>
      </c>
      <c r="E7" s="6" t="s">
        <v>13</v>
      </c>
    </row>
    <row r="8" customFormat="false" ht="15" hidden="false" customHeight="false" outlineLevel="0" collapsed="false">
      <c r="A8" s="4" t="s">
        <v>14</v>
      </c>
      <c r="C8" s="11" t="n">
        <v>0.3354</v>
      </c>
      <c r="E8" s="6" t="s">
        <v>15</v>
      </c>
    </row>
    <row r="9" customFormat="false" ht="15" hidden="false" customHeight="false" outlineLevel="0" collapsed="false">
      <c r="A9" s="7" t="s">
        <v>16</v>
      </c>
      <c r="C9" s="12" t="n">
        <f aca="false">C6*(1+(1-C7)*C8)</f>
        <v>0.31919999999967</v>
      </c>
      <c r="E9" s="6" t="s">
        <v>17</v>
      </c>
    </row>
    <row r="10" customFormat="false" ht="15" hidden="false" customHeight="false" outlineLevel="0" collapsed="false">
      <c r="A10" s="4" t="s">
        <v>18</v>
      </c>
      <c r="C10" s="5" t="n">
        <v>0.0423</v>
      </c>
      <c r="E10" s="6" t="s">
        <v>19</v>
      </c>
    </row>
    <row r="11" customFormat="false" ht="15" hidden="false" customHeight="false" outlineLevel="0" collapsed="false">
      <c r="A11" s="4" t="s">
        <v>20</v>
      </c>
      <c r="C11" s="5" t="n">
        <v>0.035</v>
      </c>
      <c r="E11" s="6" t="s">
        <v>21</v>
      </c>
    </row>
    <row r="12" customFormat="false" ht="15" hidden="false" customHeight="false" outlineLevel="0" collapsed="false">
      <c r="A12" s="7" t="s">
        <v>22</v>
      </c>
      <c r="C12" s="13" t="n">
        <f aca="false">C5+C9*C10+C11</f>
        <v>0.131377694157586</v>
      </c>
    </row>
    <row r="14" customFormat="false" ht="15" hidden="false" customHeight="false" outlineLevel="0" collapsed="false">
      <c r="A14" s="1" t="s">
        <v>23</v>
      </c>
      <c r="B14" s="1"/>
      <c r="C14" s="1"/>
      <c r="D14" s="1"/>
      <c r="E14" s="1"/>
    </row>
    <row r="15" customFormat="false" ht="15" hidden="false" customHeight="false" outlineLevel="0" collapsed="false">
      <c r="A15" s="4" t="s">
        <v>8</v>
      </c>
      <c r="C15" s="14" t="n">
        <f aca="false">C5</f>
        <v>0.0828755341576</v>
      </c>
      <c r="E15" s="6" t="s">
        <v>24</v>
      </c>
    </row>
    <row r="16" customFormat="false" ht="22.35" hidden="false" customHeight="false" outlineLevel="0" collapsed="false">
      <c r="A16" s="4" t="s">
        <v>25</v>
      </c>
      <c r="C16" s="5" t="n">
        <v>0</v>
      </c>
      <c r="E16" s="6" t="s">
        <v>26</v>
      </c>
    </row>
    <row r="17" customFormat="false" ht="15" hidden="false" customHeight="false" outlineLevel="0" collapsed="false">
      <c r="A17" s="7" t="s">
        <v>27</v>
      </c>
      <c r="C17" s="8" t="n">
        <f aca="false">C15+C16</f>
        <v>0.0828755341576</v>
      </c>
      <c r="E17" s="9" t="s">
        <v>28</v>
      </c>
    </row>
    <row r="18" customFormat="false" ht="15" hidden="false" customHeight="false" outlineLevel="0" collapsed="false">
      <c r="A18" s="7" t="s">
        <v>29</v>
      </c>
      <c r="C18" s="13" t="n">
        <f aca="false">C17*(1-C7)</f>
        <v>0.0621566506182</v>
      </c>
      <c r="E18" s="9" t="s">
        <v>30</v>
      </c>
    </row>
    <row r="20" customFormat="false" ht="15" hidden="false" customHeight="false" outlineLevel="0" collapsed="false">
      <c r="A20" s="1" t="s">
        <v>31</v>
      </c>
      <c r="B20" s="1"/>
      <c r="C20" s="1"/>
      <c r="D20" s="1"/>
      <c r="E20" s="1"/>
    </row>
    <row r="21" customFormat="false" ht="15" hidden="false" customHeight="false" outlineLevel="0" collapsed="false">
      <c r="A21" s="4" t="s">
        <v>32</v>
      </c>
      <c r="C21" s="15" t="n">
        <f aca="false">1/(1+C8)</f>
        <v>0.748839299086416</v>
      </c>
      <c r="E21" s="6" t="s">
        <v>33</v>
      </c>
    </row>
    <row r="22" customFormat="false" ht="15" hidden="false" customHeight="false" outlineLevel="0" collapsed="false">
      <c r="A22" s="4" t="s">
        <v>34</v>
      </c>
      <c r="C22" s="15" t="n">
        <f aca="false">C8/(1+C8)</f>
        <v>0.251160700913584</v>
      </c>
      <c r="E22" s="6" t="s">
        <v>35</v>
      </c>
    </row>
    <row r="23" customFormat="false" ht="15" hidden="false" customHeight="false" outlineLevel="0" collapsed="false">
      <c r="A23" s="7" t="s">
        <v>36</v>
      </c>
      <c r="C23" s="13" t="n">
        <f aca="false">C21*C12+C22*C18</f>
        <v>0.113992088344264</v>
      </c>
      <c r="E23" s="9" t="s">
        <v>37</v>
      </c>
    </row>
    <row r="26" customFormat="false" ht="15" hidden="false" customHeight="false" outlineLevel="0" collapsed="false">
      <c r="A26" s="16" t="s">
        <v>38</v>
      </c>
      <c r="B26" s="16"/>
      <c r="C26" s="16"/>
      <c r="D26" s="16"/>
      <c r="E26" s="16"/>
    </row>
    <row r="27" customFormat="false" ht="15" hidden="false" customHeight="false" outlineLevel="0" collapsed="false">
      <c r="A27" s="4" t="s">
        <v>39</v>
      </c>
      <c r="C27" s="5" t="n">
        <v>0.025</v>
      </c>
      <c r="E27" s="6" t="s">
        <v>40</v>
      </c>
    </row>
    <row r="28" customFormat="false" ht="15" hidden="false" customHeight="false" outlineLevel="0" collapsed="false">
      <c r="A28" s="4" t="s">
        <v>41</v>
      </c>
      <c r="C28" s="5" t="n">
        <v>0.03</v>
      </c>
      <c r="E28" s="6" t="s">
        <v>42</v>
      </c>
    </row>
    <row r="29" customFormat="false" ht="22.35" hidden="false" customHeight="false" outlineLevel="0" collapsed="false">
      <c r="A29" s="7" t="s">
        <v>43</v>
      </c>
      <c r="C29" s="8" t="n">
        <f aca="false">C28-C27</f>
        <v>0.005</v>
      </c>
      <c r="E29" s="9" t="s">
        <v>44</v>
      </c>
    </row>
    <row r="30" customFormat="false" ht="22.35" hidden="false" customHeight="false" outlineLevel="0" collapsed="false">
      <c r="A30" s="7" t="s">
        <v>45</v>
      </c>
      <c r="C30" s="13" t="n">
        <f aca="false">(1+C23)*(1+C28)/(1+C27)-1</f>
        <v>0.119426196092285</v>
      </c>
      <c r="E30" s="9" t="s">
        <v>46</v>
      </c>
    </row>
    <row r="33" customFormat="false" ht="15" hidden="false" customHeight="false" outlineLevel="0" collapsed="false">
      <c r="A33" s="17" t="s">
        <v>47</v>
      </c>
      <c r="B33" s="17"/>
      <c r="C33" s="17"/>
      <c r="D33" s="17"/>
      <c r="E33" s="17"/>
    </row>
    <row r="34" customFormat="false" ht="22.35" hidden="false" customHeight="false" outlineLevel="0" collapsed="false">
      <c r="A34" s="18" t="s">
        <v>48</v>
      </c>
      <c r="C34" s="19" t="n">
        <f aca="false">C23</f>
        <v>0.113992088344264</v>
      </c>
      <c r="E34" s="20" t="s">
        <v>49</v>
      </c>
    </row>
    <row r="35" customFormat="false" ht="15" hidden="false" customHeight="false" outlineLevel="0" collapsed="false">
      <c r="A35" s="21" t="s">
        <v>50</v>
      </c>
      <c r="C35" s="22" t="n">
        <f aca="false">C30</f>
        <v>0.119426196092285</v>
      </c>
      <c r="E35" s="23" t="s">
        <v>51</v>
      </c>
    </row>
  </sheetData>
  <mergeCells count="5">
    <mergeCell ref="A1:E1"/>
    <mergeCell ref="A14:E14"/>
    <mergeCell ref="A20:E20"/>
    <mergeCell ref="A26:E26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2026-08-29T01:40:51Z</dcterms:created>
  <dc:creator>openpyxl</dc:creator>
  <dc:description/>
  <dc:language>en-US</dc:language>
  <cp:lastModifiedBy/>
  <dcterms:modified xsi:type="dcterms:W3CDTF">2026-08-29T01:40:51Z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