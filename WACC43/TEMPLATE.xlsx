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e.kakou\Desktop\"/>
    </mc:Choice>
  </mc:AlternateContent>
  <xr:revisionPtr revIDLastSave="0" documentId="8_{866910E1-D947-4E5F-9B3E-AD6634906035}" xr6:coauthVersionLast="47" xr6:coauthVersionMax="47" xr10:uidLastSave="{00000000-0000-0000-0000-000000000000}"/>
  <bookViews>
    <workbookView xWindow="-110" yWindow="-110" windowWidth="19420" windowHeight="12220" tabRatio="870" firstSheet="1" activeTab="3" xr2:uid="{00000000-000D-0000-FFFF-FFFF00000000}"/>
  </bookViews>
  <sheets>
    <sheet name="BG COMP BACI" sheetId="50" state="hidden" r:id="rId1"/>
    <sheet name="BG COMP BABF" sheetId="59" r:id="rId2"/>
    <sheet name="Cdr BABF" sheetId="58" r:id="rId3"/>
    <sheet name="Bilan BABF" sheetId="60" r:id="rId4"/>
    <sheet name="UPSLIDE_UndoFormatting" sheetId="40" state="hidden" r:id="rId5"/>
    <sheet name="UPSLIDE_Undo" sheetId="34" state="hidden" r:id="rId6"/>
  </sheets>
  <definedNames>
    <definedName name="_EXPORT31_1_3087518630392.257542_520541386.81938" localSheetId="2" hidden="1">'Cdr BABF'!$E$2:$J$52</definedName>
    <definedName name="_EXPORT31_1_543518615569.787705_518615569.787705" localSheetId="2" hidden="1">'Cdr BABF'!$E$2:$J$51</definedName>
    <definedName name="_EXPORT31_4_1454518630332.581365_518630332.581365" localSheetId="2" hidden="1">'Cdr BABF'!$H$35</definedName>
    <definedName name="_EXPORT31_4_1548518714044.969971_518714044.969971" localSheetId="1" hidden="1">'BG COMP BABF'!$M$85</definedName>
    <definedName name="_EXPORT31_4_185517660572.829064_518631268.490221" localSheetId="2" hidden="1">'Cdr BABF'!$J$6</definedName>
    <definedName name="_EXPORT31_4_2421520549347.857948_520549347.857948" localSheetId="2" hidden="1">'Cdr BABF'!$F$9</definedName>
    <definedName name="_EXPORT31_4_2608518630319.254505_518630319.254505" localSheetId="2" hidden="1">'Cdr BABF'!$F$35</definedName>
    <definedName name="_EXPORT31_4_2979518631388.76606_520549513.348607" localSheetId="2" hidden="1">'Cdr BABF'!$J$8</definedName>
    <definedName name="_EXPORT31_4_3251518631538.537219_518631538.537219" localSheetId="2" hidden="1">'Cdr BABF'!$F$34</definedName>
    <definedName name="_EXPORT31_4_3277518631412.003914_518631412.003914" localSheetId="2" hidden="1">'Cdr BABF'!$G$8</definedName>
    <definedName name="_EXPORT31_4_3510519234890.600505_519234890.600505" localSheetId="2" hidden="1">'Cdr BABF'!$J$48</definedName>
    <definedName name="_EXPORT31_4_4422520549308.351665_520549308.351665" localSheetId="2" hidden="1">'Cdr BABF'!$J$9</definedName>
    <definedName name="_EXPORT31_4_4447518631282.530041_519223520.476695" localSheetId="2" hidden="1">'Cdr BABF'!$G$6</definedName>
    <definedName name="_EXPORT31_4_5281520549364.738929_520549364.738929" localSheetId="2" hidden="1">'Cdr BABF'!$H$9</definedName>
    <definedName name="_EXPORT31_4_5415520105933.500682_520105933.500682" localSheetId="2" hidden="1">'Cdr BABF'!$P$5</definedName>
    <definedName name="_EXPORT31_4_5445520102709.693475_520102709.693475" localSheetId="2" hidden="1">'Cdr BABF'!$O$4</definedName>
    <definedName name="_EXPORT31_4_5723518631354.072605_518631354.072605" localSheetId="2" hidden="1">'Cdr BABF'!$F$8</definedName>
    <definedName name="_EXPORT31_4_5789518630293.729111_520542983.223333" localSheetId="2" hidden="1">'Cdr BABF'!$F$6</definedName>
    <definedName name="_EXPORT31_4_5933518713904.49928_518713904.49928" localSheetId="1" hidden="1">'BG COMP BABF'!$N$85</definedName>
    <definedName name="_EXPORT31_4_6336519323339.754896_519323339.754896" localSheetId="2" hidden="1">'Cdr BABF'!$M$36</definedName>
    <definedName name="_EXPORT31_4_6408519215420.911005_519215420.911005" localSheetId="3" hidden="1">'Bilan BABF'!$H$59</definedName>
    <definedName name="_EXPORT31_4_665519234282.386622_519234282.386622" localSheetId="2" hidden="1">'Cdr BABF'!$O$5</definedName>
    <definedName name="_EXPORT31_4_7065520105878.235433_520105878.235433" localSheetId="2" hidden="1">'Cdr BABF'!$P$4</definedName>
    <definedName name="_EXPORT31_4_7394518713673.244629_518713673.244629" localSheetId="1" hidden="1">'BG COMP BABF'!$K$85</definedName>
    <definedName name="_EXPORT31_4_7437518631371.494399_518631371.494399" localSheetId="2" hidden="1">'Cdr BABF'!$H$8</definedName>
    <definedName name="_EXPORT31_4_8542517659681.0044_520542997.515982" localSheetId="2" hidden="1">'Cdr BABF'!$H$6</definedName>
    <definedName name="_EXPORT31_4_8600518714096.750989_518714096.750989" localSheetId="1" hidden="1">'BG COMP BABF'!$M$86</definedName>
    <definedName name="_EXPORT31_4_9562519234272.214057_519234272.214057" localSheetId="2" hidden="1">'Cdr BABF'!$M$5</definedName>
    <definedName name="_EXPORT31_4_9802518713583.555295_518713623.609486" localSheetId="1" hidden="1">'BG COMP BABF'!$K$86</definedName>
    <definedName name="_xlnm._FilterDatabase" localSheetId="1" hidden="1">'BG COMP BABF'!$A$1:$J$182</definedName>
    <definedName name="_xlnm._FilterDatabase" localSheetId="0" hidden="1">'BG COMP BACI'!$A$3:$K$252</definedName>
    <definedName name="_UNDO_UPS_" hidden="1">#REF!</definedName>
    <definedName name="_UNDO_UPS_SEL_" hidden="1">#REF!</definedName>
    <definedName name="_UNDO31X31X_" hidden="1">#REF!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8" l="1"/>
  <c r="F4" i="58"/>
  <c r="J4" i="58"/>
  <c r="F30" i="58"/>
  <c r="G30" i="58"/>
  <c r="H30" i="58"/>
  <c r="F16" i="58"/>
  <c r="G16" i="58"/>
  <c r="H16" i="58"/>
  <c r="F17" i="58"/>
  <c r="G17" i="58"/>
  <c r="H17" i="58"/>
  <c r="F18" i="58"/>
  <c r="G18" i="58"/>
  <c r="H18" i="58"/>
  <c r="F19" i="58"/>
  <c r="G19" i="58"/>
  <c r="H19" i="58"/>
  <c r="J19" i="58"/>
  <c r="F20" i="58"/>
  <c r="G20" i="58"/>
  <c r="H20" i="58"/>
  <c r="F21" i="58"/>
  <c r="G21" i="58"/>
  <c r="H21" i="58"/>
  <c r="F22" i="58"/>
  <c r="G22" i="58"/>
  <c r="H22" i="58"/>
  <c r="F9" i="58"/>
  <c r="G9" i="58"/>
  <c r="H9" i="58"/>
  <c r="F10" i="58"/>
  <c r="G10" i="58"/>
  <c r="H10" i="58"/>
  <c r="L128" i="50"/>
  <c r="L127" i="50"/>
  <c r="D39" i="50"/>
  <c r="D191" i="50"/>
  <c r="D192" i="50"/>
  <c r="D193" i="50"/>
  <c r="D194" i="50"/>
  <c r="D195" i="50"/>
  <c r="D196" i="50"/>
  <c r="D197" i="50"/>
  <c r="D198" i="50"/>
  <c r="D199" i="50"/>
  <c r="D200" i="50"/>
  <c r="D201" i="50"/>
  <c r="D202" i="50"/>
  <c r="D203" i="50"/>
  <c r="D204" i="50"/>
  <c r="D205" i="50"/>
  <c r="D206" i="50"/>
  <c r="D207" i="50"/>
  <c r="D208" i="50"/>
  <c r="D209" i="50"/>
  <c r="D210" i="50"/>
  <c r="D211" i="50"/>
  <c r="D212" i="50"/>
  <c r="D213" i="50"/>
  <c r="D214" i="50"/>
  <c r="D215" i="50"/>
  <c r="D216" i="50"/>
  <c r="D217" i="50"/>
  <c r="D218" i="50"/>
  <c r="D219" i="50"/>
  <c r="D220" i="50"/>
  <c r="D221" i="50"/>
  <c r="D222" i="50"/>
  <c r="D223" i="50"/>
  <c r="D224" i="50"/>
  <c r="D225" i="50"/>
  <c r="D226" i="50"/>
  <c r="D227" i="50"/>
  <c r="D228" i="50"/>
  <c r="D229" i="50"/>
  <c r="D230" i="50"/>
  <c r="D231" i="50"/>
  <c r="D232" i="50"/>
  <c r="D233" i="50"/>
  <c r="D234" i="50"/>
  <c r="D235" i="50"/>
  <c r="D236" i="50"/>
  <c r="D237" i="50"/>
  <c r="D238" i="50"/>
  <c r="D239" i="50"/>
  <c r="D240" i="50"/>
  <c r="D241" i="50"/>
  <c r="D242" i="50"/>
  <c r="D243" i="50"/>
  <c r="D244" i="50"/>
  <c r="D245" i="50"/>
  <c r="D246" i="50"/>
  <c r="D247" i="50"/>
  <c r="D248" i="50"/>
  <c r="D249" i="50"/>
  <c r="D250" i="50"/>
  <c r="D251" i="50"/>
  <c r="D252" i="50"/>
  <c r="C39" i="50"/>
  <c r="B39" i="50"/>
  <c r="A39" i="50"/>
  <c r="C191" i="50"/>
  <c r="B191" i="50"/>
  <c r="A191" i="50"/>
  <c r="C203" i="50"/>
  <c r="B203" i="50"/>
  <c r="A203" i="50"/>
  <c r="C204" i="50"/>
  <c r="B204" i="50"/>
  <c r="A204" i="50"/>
  <c r="C211" i="50"/>
  <c r="B211" i="50"/>
  <c r="A211" i="50"/>
  <c r="C214" i="50"/>
  <c r="B214" i="50"/>
  <c r="A214" i="50"/>
  <c r="C216" i="50"/>
  <c r="B216" i="50"/>
  <c r="A216" i="50"/>
  <c r="C218" i="50"/>
  <c r="B218" i="50"/>
  <c r="A218" i="50"/>
  <c r="C220" i="50"/>
  <c r="B220" i="50"/>
  <c r="A220" i="50"/>
  <c r="C221" i="50"/>
  <c r="B221" i="50"/>
  <c r="A221" i="50"/>
  <c r="C222" i="50"/>
  <c r="B222" i="50"/>
  <c r="A222" i="50"/>
  <c r="C224" i="50"/>
  <c r="B224" i="50"/>
  <c r="A224" i="50"/>
  <c r="C225" i="50"/>
  <c r="B225" i="50"/>
  <c r="A225" i="50"/>
  <c r="C226" i="50"/>
  <c r="B226" i="50"/>
  <c r="A226" i="50"/>
  <c r="C227" i="50"/>
  <c r="B227" i="50"/>
  <c r="C228" i="50"/>
  <c r="B228" i="50"/>
  <c r="A228" i="50"/>
  <c r="C230" i="50"/>
  <c r="B230" i="50"/>
  <c r="A230" i="50"/>
  <c r="C231" i="50"/>
  <c r="B231" i="50"/>
  <c r="C232" i="50"/>
  <c r="B232" i="50"/>
  <c r="A232" i="50"/>
  <c r="C233" i="50"/>
  <c r="B233" i="50"/>
  <c r="A233" i="50"/>
  <c r="C236" i="50"/>
  <c r="B236" i="50"/>
  <c r="A236" i="50"/>
  <c r="C237" i="50"/>
  <c r="B237" i="50"/>
  <c r="A237" i="50"/>
  <c r="C239" i="50"/>
  <c r="B239" i="50"/>
  <c r="A239" i="50"/>
  <c r="C243" i="50"/>
  <c r="B243" i="50"/>
  <c r="A243" i="50"/>
  <c r="C199" i="50"/>
  <c r="B199" i="50"/>
  <c r="A199" i="50"/>
  <c r="C200" i="50"/>
  <c r="B200" i="50"/>
  <c r="A200" i="50"/>
  <c r="C205" i="50"/>
  <c r="B205" i="50"/>
  <c r="A205" i="50"/>
  <c r="C206" i="50"/>
  <c r="B206" i="50"/>
  <c r="A206" i="50"/>
  <c r="C207" i="50"/>
  <c r="B207" i="50"/>
  <c r="A207" i="50"/>
  <c r="C208" i="50"/>
  <c r="B208" i="50"/>
  <c r="A208" i="50"/>
  <c r="C209" i="50"/>
  <c r="B209" i="50"/>
  <c r="A209" i="50"/>
  <c r="C210" i="50"/>
  <c r="B210" i="50"/>
  <c r="A210" i="50"/>
  <c r="C212" i="50"/>
  <c r="B212" i="50"/>
  <c r="A212" i="50"/>
  <c r="C213" i="50"/>
  <c r="B213" i="50"/>
  <c r="A213" i="50"/>
  <c r="C215" i="50"/>
  <c r="B215" i="50"/>
  <c r="A215" i="50"/>
  <c r="C217" i="50"/>
  <c r="B217" i="50"/>
  <c r="A217" i="50"/>
  <c r="C219" i="50"/>
  <c r="B219" i="50"/>
  <c r="A219" i="50"/>
  <c r="C223" i="50"/>
  <c r="B223" i="50"/>
  <c r="A223" i="50"/>
  <c r="C229" i="50"/>
  <c r="B229" i="50"/>
  <c r="A229" i="50"/>
  <c r="C234" i="50"/>
  <c r="B234" i="50"/>
  <c r="A234" i="50"/>
  <c r="C235" i="50"/>
  <c r="B235" i="50"/>
  <c r="A235" i="50"/>
  <c r="C238" i="50"/>
  <c r="B238" i="50"/>
  <c r="A238" i="50"/>
  <c r="C240" i="50"/>
  <c r="B240" i="50"/>
  <c r="A240" i="50"/>
  <c r="C241" i="50"/>
  <c r="B241" i="50"/>
  <c r="A241" i="50"/>
  <c r="C242" i="50"/>
  <c r="B242" i="50"/>
  <c r="A242" i="50"/>
  <c r="C244" i="50"/>
  <c r="B244" i="50"/>
  <c r="A244" i="50"/>
  <c r="C249" i="50"/>
  <c r="B249" i="50"/>
  <c r="A249" i="50"/>
  <c r="C250" i="50"/>
  <c r="B250" i="50"/>
  <c r="A250" i="50"/>
  <c r="C251" i="50"/>
  <c r="B251" i="50"/>
  <c r="A251" i="50"/>
  <c r="C252" i="50"/>
  <c r="B252" i="50"/>
  <c r="A252" i="50"/>
  <c r="C192" i="50"/>
  <c r="B192" i="50"/>
  <c r="A192" i="50"/>
  <c r="C193" i="50"/>
  <c r="B193" i="50"/>
  <c r="A193" i="50"/>
  <c r="C194" i="50"/>
  <c r="B194" i="50"/>
  <c r="A194" i="50"/>
  <c r="C195" i="50"/>
  <c r="B195" i="50"/>
  <c r="A195" i="50"/>
  <c r="C196" i="50"/>
  <c r="B196" i="50"/>
  <c r="A196" i="50"/>
  <c r="C197" i="50"/>
  <c r="B197" i="50"/>
  <c r="A197" i="50"/>
  <c r="C198" i="50"/>
  <c r="B198" i="50"/>
  <c r="A198" i="50"/>
  <c r="C201" i="50"/>
  <c r="B201" i="50"/>
  <c r="A201" i="50"/>
  <c r="C202" i="50"/>
  <c r="B202" i="50"/>
  <c r="A202" i="50"/>
  <c r="C245" i="50"/>
  <c r="B245" i="50"/>
  <c r="A245" i="50"/>
  <c r="C246" i="50"/>
  <c r="B246" i="50"/>
  <c r="A246" i="50"/>
  <c r="C247" i="50"/>
  <c r="B247" i="50"/>
  <c r="A247" i="50"/>
  <c r="C248" i="50"/>
  <c r="B248" i="50"/>
  <c r="A248" i="50"/>
  <c r="A227" i="50"/>
  <c r="A231" i="50"/>
  <c r="O85" i="59"/>
  <c r="N85" i="59"/>
  <c r="N86" i="59"/>
  <c r="E180" i="59"/>
  <c r="E179" i="59"/>
  <c r="E178" i="59"/>
  <c r="E177" i="59"/>
  <c r="E176" i="59"/>
  <c r="D176" i="59"/>
  <c r="E175" i="59"/>
  <c r="E174" i="59"/>
  <c r="D174" i="59"/>
  <c r="E173" i="59"/>
  <c r="E172" i="59"/>
  <c r="E171" i="59"/>
  <c r="E170" i="59"/>
  <c r="E169" i="59"/>
  <c r="E168" i="59"/>
  <c r="E167" i="59"/>
  <c r="E166" i="59"/>
  <c r="E165" i="59"/>
  <c r="E164" i="59"/>
  <c r="E163" i="59"/>
  <c r="E162" i="59"/>
  <c r="E161" i="59"/>
  <c r="E160" i="59"/>
  <c r="E159" i="59"/>
  <c r="E158" i="59"/>
  <c r="E157" i="59"/>
  <c r="E156" i="59"/>
  <c r="E155" i="59"/>
  <c r="E154" i="59"/>
  <c r="E153" i="59"/>
  <c r="E152" i="59"/>
  <c r="N151" i="59"/>
  <c r="M151" i="59"/>
  <c r="L151" i="59"/>
  <c r="E151" i="59"/>
  <c r="E150" i="59"/>
  <c r="E149" i="59"/>
  <c r="E148" i="59"/>
  <c r="E147" i="59"/>
  <c r="E146" i="59"/>
  <c r="E145" i="59"/>
  <c r="E144" i="59"/>
  <c r="E143" i="59"/>
  <c r="E142" i="59"/>
  <c r="E141" i="59"/>
  <c r="E140" i="59"/>
  <c r="E139" i="59"/>
  <c r="E138" i="59"/>
  <c r="E137" i="59"/>
  <c r="E136" i="59"/>
  <c r="E135" i="59"/>
  <c r="E134" i="59"/>
  <c r="E133" i="59"/>
  <c r="E132" i="59"/>
  <c r="E131" i="59"/>
  <c r="E130" i="59"/>
  <c r="E129" i="59"/>
  <c r="E128" i="59"/>
  <c r="E127" i="59"/>
  <c r="E126" i="59"/>
  <c r="E125" i="59"/>
  <c r="E124" i="59"/>
  <c r="E123" i="59"/>
  <c r="E122" i="59"/>
  <c r="E121" i="59"/>
  <c r="E120" i="59"/>
  <c r="E119" i="59"/>
  <c r="E118" i="59"/>
  <c r="E117" i="59"/>
  <c r="E116" i="59"/>
  <c r="E115" i="59"/>
  <c r="E114" i="59"/>
  <c r="D114" i="59"/>
  <c r="E113" i="59"/>
  <c r="E112" i="59"/>
  <c r="E111" i="59"/>
  <c r="E110" i="59"/>
  <c r="E109" i="59"/>
  <c r="E108" i="59"/>
  <c r="E107" i="59"/>
  <c r="E106" i="59"/>
  <c r="E105" i="59"/>
  <c r="E104" i="59"/>
  <c r="E103" i="59"/>
  <c r="E102" i="59"/>
  <c r="E101" i="59"/>
  <c r="E100" i="59"/>
  <c r="E99" i="59"/>
  <c r="E98" i="59"/>
  <c r="E97" i="59"/>
  <c r="E96" i="59"/>
  <c r="E95" i="59"/>
  <c r="E94" i="59"/>
  <c r="E93" i="59"/>
  <c r="E92" i="59"/>
  <c r="E91" i="59"/>
  <c r="E90" i="59"/>
  <c r="E89" i="59"/>
  <c r="E88" i="59"/>
  <c r="E87" i="59"/>
  <c r="E86" i="59"/>
  <c r="E85" i="59"/>
  <c r="E84" i="59"/>
  <c r="E83" i="59"/>
  <c r="E82" i="59"/>
  <c r="E81" i="59"/>
  <c r="E80" i="59"/>
  <c r="E79" i="59"/>
  <c r="E78" i="59"/>
  <c r="E77" i="59"/>
  <c r="E76" i="59"/>
  <c r="E75" i="59"/>
  <c r="E74" i="59"/>
  <c r="D74" i="59"/>
  <c r="C74" i="59"/>
  <c r="B74" i="59"/>
  <c r="E73" i="59"/>
  <c r="D73" i="59"/>
  <c r="C73" i="59"/>
  <c r="B73" i="59"/>
  <c r="E72" i="59"/>
  <c r="D72" i="59"/>
  <c r="C72" i="59"/>
  <c r="B72" i="59"/>
  <c r="E71" i="59"/>
  <c r="D71" i="59"/>
  <c r="C71" i="59"/>
  <c r="B71" i="59"/>
  <c r="E70" i="59"/>
  <c r="E69" i="59"/>
  <c r="E68" i="59"/>
  <c r="E67" i="59"/>
  <c r="D67" i="59"/>
  <c r="C67" i="59"/>
  <c r="B67" i="59"/>
  <c r="E66" i="59"/>
  <c r="D66" i="59"/>
  <c r="C66" i="59"/>
  <c r="B66" i="59"/>
  <c r="E65" i="59"/>
  <c r="D65" i="59"/>
  <c r="C65" i="59"/>
  <c r="B65" i="59"/>
  <c r="E64" i="59"/>
  <c r="D64" i="59"/>
  <c r="C64" i="59"/>
  <c r="B64" i="59"/>
  <c r="E63" i="59"/>
  <c r="E62" i="59"/>
  <c r="E61" i="59"/>
  <c r="E60" i="59"/>
  <c r="E59" i="59"/>
  <c r="E58" i="59"/>
  <c r="E57" i="59"/>
  <c r="E56" i="59"/>
  <c r="E55" i="59"/>
  <c r="E54" i="59"/>
  <c r="E53" i="59"/>
  <c r="E52" i="59"/>
  <c r="E51" i="59"/>
  <c r="E50" i="59"/>
  <c r="E49" i="59"/>
  <c r="E48" i="59"/>
  <c r="E47" i="59"/>
  <c r="E46" i="59"/>
  <c r="E45" i="59"/>
  <c r="E44" i="59"/>
  <c r="E43" i="59"/>
  <c r="E42" i="59"/>
  <c r="E41" i="59"/>
  <c r="E40" i="59"/>
  <c r="E39" i="59"/>
  <c r="E38" i="59"/>
  <c r="E37" i="59"/>
  <c r="E36" i="59"/>
  <c r="E35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11" i="59"/>
  <c r="E10" i="59"/>
  <c r="E9" i="59"/>
  <c r="E8" i="59"/>
  <c r="E7" i="59"/>
  <c r="E6" i="59"/>
  <c r="E5" i="59"/>
  <c r="E4" i="59"/>
  <c r="E3" i="59"/>
  <c r="E2" i="59"/>
  <c r="D190" i="50"/>
  <c r="D189" i="50"/>
  <c r="D188" i="50"/>
  <c r="C188" i="50"/>
  <c r="D187" i="50"/>
  <c r="D186" i="50"/>
  <c r="D185" i="50"/>
  <c r="D184" i="50"/>
  <c r="D183" i="50"/>
  <c r="D182" i="50"/>
  <c r="D181" i="50"/>
  <c r="D180" i="50"/>
  <c r="D179" i="50"/>
  <c r="D178" i="50"/>
  <c r="D177" i="50"/>
  <c r="D176" i="50"/>
  <c r="D175" i="50"/>
  <c r="D174" i="50"/>
  <c r="D173" i="50"/>
  <c r="D172" i="50"/>
  <c r="D171" i="50"/>
  <c r="D170" i="50"/>
  <c r="D169" i="50"/>
  <c r="D168" i="50"/>
  <c r="D167" i="50"/>
  <c r="D166" i="50"/>
  <c r="D165" i="50"/>
  <c r="D164" i="50"/>
  <c r="D163" i="50"/>
  <c r="D162" i="50"/>
  <c r="D161" i="50"/>
  <c r="D160" i="50"/>
  <c r="D159" i="50"/>
  <c r="D158" i="50"/>
  <c r="D157" i="50"/>
  <c r="C157" i="50"/>
  <c r="D156" i="50"/>
  <c r="D155" i="50"/>
  <c r="D154" i="50"/>
  <c r="D153" i="50"/>
  <c r="D152" i="50"/>
  <c r="D151" i="50"/>
  <c r="D150" i="50"/>
  <c r="D149" i="50"/>
  <c r="D148" i="50"/>
  <c r="D147" i="50"/>
  <c r="D146" i="50"/>
  <c r="D145" i="50"/>
  <c r="D144" i="50"/>
  <c r="D143" i="50"/>
  <c r="D142" i="50"/>
  <c r="D141" i="50"/>
  <c r="D140" i="50"/>
  <c r="D139" i="50"/>
  <c r="D138" i="50"/>
  <c r="D137" i="50"/>
  <c r="D136" i="50"/>
  <c r="D135" i="50"/>
  <c r="D134" i="50"/>
  <c r="D133" i="50"/>
  <c r="D132" i="50"/>
  <c r="D131" i="50"/>
  <c r="D130" i="50"/>
  <c r="D129" i="50"/>
  <c r="D128" i="50"/>
  <c r="D127" i="50"/>
  <c r="D126" i="50"/>
  <c r="D125" i="50"/>
  <c r="D124" i="50"/>
  <c r="D123" i="50"/>
  <c r="C123" i="50"/>
  <c r="B123" i="50"/>
  <c r="A123" i="50"/>
  <c r="D122" i="50"/>
  <c r="C122" i="50"/>
  <c r="B122" i="50"/>
  <c r="A122" i="50"/>
  <c r="D121" i="50"/>
  <c r="C121" i="50"/>
  <c r="D120" i="50"/>
  <c r="C120" i="50"/>
  <c r="D119" i="50"/>
  <c r="C119" i="50"/>
  <c r="D118" i="50"/>
  <c r="D117" i="50"/>
  <c r="D116" i="50"/>
  <c r="C116" i="50"/>
  <c r="D115" i="50"/>
  <c r="C115" i="50"/>
  <c r="D114" i="50"/>
  <c r="D113" i="50"/>
  <c r="D112" i="50"/>
  <c r="D111" i="50"/>
  <c r="D110" i="50"/>
  <c r="D109" i="50"/>
  <c r="D108" i="50"/>
  <c r="D107" i="50"/>
  <c r="D106" i="50"/>
  <c r="D105" i="50"/>
  <c r="D104" i="50"/>
  <c r="D103" i="50"/>
  <c r="D102" i="50"/>
  <c r="D101" i="50"/>
  <c r="D100" i="50"/>
  <c r="D99" i="50"/>
  <c r="D98" i="50"/>
  <c r="D97" i="50"/>
  <c r="D96" i="50"/>
  <c r="D95" i="50"/>
  <c r="D94" i="50"/>
  <c r="D93" i="50"/>
  <c r="D92" i="50"/>
  <c r="D91" i="50"/>
  <c r="D90" i="50"/>
  <c r="D89" i="50"/>
  <c r="D88" i="50"/>
  <c r="D87" i="50"/>
  <c r="D86" i="50"/>
  <c r="D85" i="50"/>
  <c r="D84" i="50"/>
  <c r="D83" i="50"/>
  <c r="D82" i="50"/>
  <c r="D81" i="50"/>
  <c r="D80" i="50"/>
  <c r="D79" i="50"/>
  <c r="D78" i="50"/>
  <c r="D77" i="50"/>
  <c r="D76" i="50"/>
  <c r="D75" i="50"/>
  <c r="D74" i="50"/>
  <c r="D73" i="50"/>
  <c r="D72" i="50"/>
  <c r="D71" i="50"/>
  <c r="D70" i="50"/>
  <c r="D69" i="50"/>
  <c r="D68" i="50"/>
  <c r="D67" i="50"/>
  <c r="D66" i="50"/>
  <c r="D65" i="50"/>
  <c r="D64" i="50"/>
  <c r="D63" i="50"/>
  <c r="C63" i="50"/>
  <c r="B63" i="50"/>
  <c r="A63" i="50"/>
  <c r="D62" i="50"/>
  <c r="C62" i="50"/>
  <c r="D61" i="50"/>
  <c r="D60" i="50"/>
  <c r="C60" i="50"/>
  <c r="D59" i="50"/>
  <c r="C59" i="50"/>
  <c r="D58" i="50"/>
  <c r="D57" i="50"/>
  <c r="D56" i="50"/>
  <c r="D55" i="50"/>
  <c r="D54" i="50"/>
  <c r="D53" i="50"/>
  <c r="D52" i="50"/>
  <c r="D51" i="50"/>
  <c r="C51" i="50"/>
  <c r="B51" i="50"/>
  <c r="A51" i="50"/>
  <c r="D50" i="50"/>
  <c r="C50" i="50"/>
  <c r="B50" i="50"/>
  <c r="A50" i="50"/>
  <c r="D49" i="50"/>
  <c r="C49" i="50"/>
  <c r="B49" i="50"/>
  <c r="A49" i="50"/>
  <c r="D48" i="50"/>
  <c r="C48" i="50"/>
  <c r="B48" i="50"/>
  <c r="A48" i="50"/>
  <c r="D47" i="50"/>
  <c r="C47" i="50"/>
  <c r="B47" i="50"/>
  <c r="A47" i="50"/>
  <c r="D46" i="50"/>
  <c r="C46" i="50"/>
  <c r="D45" i="50"/>
  <c r="C45" i="50"/>
  <c r="B45" i="50"/>
  <c r="A45" i="50"/>
  <c r="D44" i="50"/>
  <c r="C44" i="50"/>
  <c r="B44" i="50"/>
  <c r="A44" i="50"/>
  <c r="D43" i="50"/>
  <c r="C43" i="50"/>
  <c r="D42" i="50"/>
  <c r="D41" i="50"/>
  <c r="D40" i="50"/>
  <c r="D38" i="50"/>
  <c r="C38" i="50"/>
  <c r="B38" i="50"/>
  <c r="A38" i="50"/>
  <c r="D37" i="50"/>
  <c r="C37" i="50"/>
  <c r="B37" i="50"/>
  <c r="A37" i="50"/>
  <c r="D36" i="50"/>
  <c r="C36" i="50"/>
  <c r="B36" i="50"/>
  <c r="A36" i="50"/>
  <c r="D35" i="50"/>
  <c r="C35" i="50"/>
  <c r="B35" i="50"/>
  <c r="A35" i="50"/>
  <c r="D34" i="50"/>
  <c r="C34" i="50"/>
  <c r="B34" i="50"/>
  <c r="A34" i="50"/>
  <c r="D33" i="50"/>
  <c r="C33" i="50"/>
  <c r="B33" i="50"/>
  <c r="A33" i="50"/>
  <c r="D32" i="50"/>
  <c r="C32" i="50"/>
  <c r="B32" i="50"/>
  <c r="A32" i="50"/>
  <c r="D31" i="50"/>
  <c r="C31" i="50"/>
  <c r="B31" i="50"/>
  <c r="A31" i="50"/>
  <c r="D30" i="50"/>
  <c r="C30" i="50"/>
  <c r="B30" i="50"/>
  <c r="A30" i="50"/>
  <c r="D29" i="50"/>
  <c r="C29" i="50"/>
  <c r="B29" i="50"/>
  <c r="A29" i="50"/>
  <c r="D28" i="50"/>
  <c r="C28" i="50"/>
  <c r="B28" i="50"/>
  <c r="A28" i="50"/>
  <c r="D27" i="50"/>
  <c r="C27" i="50"/>
  <c r="B27" i="50"/>
  <c r="A27" i="50"/>
  <c r="D26" i="50"/>
  <c r="C26" i="50"/>
  <c r="B26" i="50"/>
  <c r="A26" i="50"/>
  <c r="D25" i="50"/>
  <c r="C25" i="50"/>
  <c r="B25" i="50"/>
  <c r="A25" i="50"/>
  <c r="D24" i="50"/>
  <c r="C24" i="50"/>
  <c r="D23" i="50"/>
  <c r="C23" i="50"/>
  <c r="B23" i="50"/>
  <c r="A23" i="50"/>
  <c r="D22" i="50"/>
  <c r="C22" i="50"/>
  <c r="B22" i="50"/>
  <c r="A22" i="50"/>
  <c r="D21" i="50"/>
  <c r="D20" i="50"/>
  <c r="C20" i="50"/>
  <c r="B20" i="50"/>
  <c r="D19" i="50"/>
  <c r="D18" i="50"/>
  <c r="D17" i="50"/>
  <c r="D16" i="50"/>
  <c r="D15" i="50"/>
  <c r="D14" i="50"/>
  <c r="D13" i="50"/>
  <c r="D12" i="50"/>
  <c r="D11" i="50"/>
  <c r="D10" i="50"/>
  <c r="D9" i="50"/>
  <c r="D8" i="50"/>
  <c r="D7" i="50"/>
  <c r="D6" i="50"/>
  <c r="D5" i="50"/>
  <c r="D4" i="50"/>
  <c r="H58" i="60"/>
  <c r="G58" i="60"/>
  <c r="F58" i="60"/>
  <c r="H56" i="60"/>
  <c r="G56" i="60"/>
  <c r="F56" i="60"/>
  <c r="H55" i="60"/>
  <c r="G55" i="60"/>
  <c r="F55" i="60"/>
  <c r="H54" i="60"/>
  <c r="G54" i="60"/>
  <c r="F54" i="60"/>
  <c r="H53" i="60"/>
  <c r="G53" i="60"/>
  <c r="F53" i="60"/>
  <c r="H52" i="60"/>
  <c r="G52" i="60"/>
  <c r="F52" i="60"/>
  <c r="H51" i="60"/>
  <c r="G51" i="60"/>
  <c r="F51" i="60"/>
  <c r="H48" i="60"/>
  <c r="G48" i="60"/>
  <c r="F48" i="60"/>
  <c r="H46" i="60"/>
  <c r="G46" i="60"/>
  <c r="F46" i="60"/>
  <c r="H44" i="60"/>
  <c r="G44" i="60"/>
  <c r="F44" i="60"/>
  <c r="H43" i="60"/>
  <c r="G43" i="60"/>
  <c r="F43" i="60"/>
  <c r="H41" i="60"/>
  <c r="G41" i="60"/>
  <c r="F41" i="60"/>
  <c r="H40" i="60"/>
  <c r="G40" i="60"/>
  <c r="F40" i="60"/>
  <c r="H39" i="60"/>
  <c r="G39" i="60"/>
  <c r="F39" i="60"/>
  <c r="H38" i="60"/>
  <c r="G38" i="60"/>
  <c r="F38" i="60"/>
  <c r="H35" i="60"/>
  <c r="G35" i="60"/>
  <c r="F35" i="60"/>
  <c r="H34" i="60"/>
  <c r="G34" i="60"/>
  <c r="F34" i="60"/>
  <c r="H33" i="60"/>
  <c r="G33" i="60"/>
  <c r="F33" i="60"/>
  <c r="H31" i="60"/>
  <c r="G31" i="60"/>
  <c r="F31" i="60"/>
  <c r="H29" i="60"/>
  <c r="G29" i="60"/>
  <c r="F29" i="60"/>
  <c r="H28" i="60"/>
  <c r="G28" i="60"/>
  <c r="F28" i="60"/>
  <c r="H26" i="60"/>
  <c r="G26" i="60"/>
  <c r="F26" i="60"/>
  <c r="H25" i="60"/>
  <c r="G25" i="60"/>
  <c r="F25" i="60"/>
  <c r="H23" i="60"/>
  <c r="G23" i="60"/>
  <c r="F23" i="60"/>
  <c r="H22" i="60"/>
  <c r="G22" i="60"/>
  <c r="F22" i="60"/>
  <c r="H20" i="60"/>
  <c r="G20" i="60"/>
  <c r="F20" i="60"/>
  <c r="H18" i="60"/>
  <c r="G18" i="60"/>
  <c r="F18" i="60"/>
  <c r="H16" i="60"/>
  <c r="G16" i="60"/>
  <c r="F16" i="60"/>
  <c r="H15" i="60"/>
  <c r="G15" i="60"/>
  <c r="F15" i="60"/>
  <c r="H14" i="60"/>
  <c r="G14" i="60"/>
  <c r="F14" i="60"/>
  <c r="H13" i="60"/>
  <c r="G13" i="60"/>
  <c r="F13" i="60"/>
  <c r="H12" i="60"/>
  <c r="G12" i="60"/>
  <c r="F12" i="60"/>
  <c r="H11" i="60"/>
  <c r="G11" i="60"/>
  <c r="F11" i="60"/>
  <c r="H10" i="60"/>
  <c r="G10" i="60"/>
  <c r="F10" i="60"/>
  <c r="H9" i="60"/>
  <c r="G9" i="60"/>
  <c r="F9" i="60"/>
  <c r="H8" i="60"/>
  <c r="G8" i="60"/>
  <c r="F8" i="60"/>
  <c r="H50" i="58"/>
  <c r="G50" i="58"/>
  <c r="F50" i="58"/>
  <c r="H49" i="58"/>
  <c r="G49" i="58"/>
  <c r="F49" i="58"/>
  <c r="H46" i="58"/>
  <c r="G46" i="58"/>
  <c r="F46" i="58"/>
  <c r="H45" i="58"/>
  <c r="G45" i="58"/>
  <c r="F45" i="58"/>
  <c r="H44" i="58"/>
  <c r="G44" i="58"/>
  <c r="F44" i="58"/>
  <c r="H43" i="58"/>
  <c r="G43" i="58"/>
  <c r="F43" i="58"/>
  <c r="H39" i="58"/>
  <c r="G39" i="58"/>
  <c r="F39" i="58"/>
  <c r="H38" i="58"/>
  <c r="G38" i="58"/>
  <c r="F38" i="58"/>
  <c r="H37" i="58"/>
  <c r="G37" i="58"/>
  <c r="F37" i="58"/>
  <c r="F33" i="58"/>
  <c r="H32" i="58"/>
  <c r="G32" i="58"/>
  <c r="F32" i="58"/>
  <c r="H31" i="58"/>
  <c r="G31" i="58"/>
  <c r="F31" i="58"/>
  <c r="H28" i="58"/>
  <c r="G28" i="58"/>
  <c r="F28" i="58"/>
  <c r="H27" i="58"/>
  <c r="G27" i="58"/>
  <c r="F27" i="58"/>
  <c r="H26" i="58"/>
  <c r="G26" i="58"/>
  <c r="F26" i="58"/>
  <c r="H25" i="58"/>
  <c r="G25" i="58"/>
  <c r="F25" i="58"/>
  <c r="H24" i="58"/>
  <c r="G24" i="58"/>
  <c r="F24" i="58"/>
  <c r="H15" i="58"/>
  <c r="G15" i="58"/>
  <c r="F15" i="58"/>
  <c r="H14" i="58"/>
  <c r="G14" i="58"/>
  <c r="F14" i="58"/>
  <c r="H13" i="58"/>
  <c r="G13" i="58"/>
  <c r="F13" i="58"/>
  <c r="H12" i="58"/>
  <c r="G12" i="58"/>
  <c r="F12" i="58"/>
  <c r="H11" i="58"/>
  <c r="G11" i="58"/>
  <c r="F11" i="58"/>
  <c r="H8" i="58"/>
  <c r="M87" i="59"/>
  <c r="G8" i="58"/>
  <c r="L87" i="59"/>
  <c r="F8" i="58"/>
  <c r="K87" i="59"/>
  <c r="H7" i="58"/>
  <c r="G7" i="58"/>
  <c r="F7" i="58"/>
  <c r="H5" i="58"/>
  <c r="G5" i="58"/>
  <c r="F5" i="58"/>
  <c r="G4" i="58"/>
  <c r="G6" i="58"/>
  <c r="J5" i="58"/>
  <c r="H6" i="58"/>
  <c r="M23" i="58"/>
  <c r="F6" i="58"/>
  <c r="D69" i="59"/>
  <c r="C69" i="59"/>
  <c r="B69" i="59"/>
  <c r="D70" i="59"/>
  <c r="C70" i="59"/>
  <c r="B70" i="59"/>
  <c r="D68" i="59"/>
  <c r="C68" i="59"/>
  <c r="B68" i="59"/>
  <c r="M86" i="59"/>
  <c r="K86" i="59"/>
  <c r="L85" i="59"/>
  <c r="D77" i="59"/>
  <c r="D76" i="59"/>
  <c r="C76" i="59"/>
  <c r="B76" i="59"/>
  <c r="D75" i="59"/>
  <c r="C75" i="59"/>
  <c r="B75" i="59"/>
  <c r="C65" i="50"/>
  <c r="B65" i="50"/>
  <c r="A65" i="50"/>
  <c r="C61" i="50"/>
  <c r="B61" i="50"/>
  <c r="K85" i="59"/>
  <c r="M85" i="59"/>
  <c r="L86" i="59"/>
  <c r="D141" i="59"/>
  <c r="C141" i="59"/>
  <c r="D135" i="59"/>
  <c r="D134" i="59"/>
  <c r="C134" i="59"/>
  <c r="B134" i="59"/>
  <c r="D133" i="59"/>
  <c r="D131" i="59"/>
  <c r="C131" i="59"/>
  <c r="B131" i="59"/>
  <c r="D130" i="59"/>
  <c r="C130" i="59"/>
  <c r="D127" i="59"/>
  <c r="D126" i="59"/>
  <c r="C126" i="59"/>
  <c r="D123" i="59"/>
  <c r="D113" i="59"/>
  <c r="D61" i="59"/>
  <c r="C61" i="59"/>
  <c r="B61" i="59"/>
  <c r="D60" i="59"/>
  <c r="C60" i="59"/>
  <c r="B60" i="59"/>
  <c r="D57" i="59"/>
  <c r="C57" i="59"/>
  <c r="B57" i="59"/>
  <c r="D41" i="59"/>
  <c r="C41" i="59"/>
  <c r="B41" i="59"/>
  <c r="D40" i="59"/>
  <c r="C40" i="59"/>
  <c r="D37" i="59"/>
  <c r="C37" i="59"/>
  <c r="D29" i="59"/>
  <c r="D28" i="59"/>
  <c r="C28" i="59"/>
  <c r="B28" i="59"/>
  <c r="D27" i="59"/>
  <c r="C27" i="59"/>
  <c r="B27" i="59"/>
  <c r="D24" i="59"/>
  <c r="C24" i="59"/>
  <c r="B24" i="59"/>
  <c r="D23" i="59"/>
  <c r="C23" i="59"/>
  <c r="B23" i="59"/>
  <c r="D21" i="59"/>
  <c r="D20" i="59"/>
  <c r="C20" i="59"/>
  <c r="D7" i="59"/>
  <c r="C7" i="59"/>
  <c r="B7" i="59"/>
  <c r="D178" i="59"/>
  <c r="D148" i="59"/>
  <c r="C148" i="59"/>
  <c r="B148" i="59"/>
  <c r="D132" i="59"/>
  <c r="C132" i="59"/>
  <c r="B132" i="59"/>
  <c r="D129" i="59"/>
  <c r="C129" i="59"/>
  <c r="B129" i="59"/>
  <c r="D128" i="59"/>
  <c r="C128" i="59"/>
  <c r="B128" i="59"/>
  <c r="D117" i="59"/>
  <c r="D116" i="59"/>
  <c r="D100" i="59"/>
  <c r="D94" i="59"/>
  <c r="C94" i="59"/>
  <c r="B94" i="59"/>
  <c r="D79" i="59"/>
  <c r="D78" i="59"/>
  <c r="C78" i="59"/>
  <c r="B78" i="59"/>
  <c r="D63" i="59"/>
  <c r="C63" i="59"/>
  <c r="B63" i="59"/>
  <c r="D59" i="59"/>
  <c r="C59" i="59"/>
  <c r="B59" i="59"/>
  <c r="D55" i="59"/>
  <c r="C55" i="59"/>
  <c r="B55" i="59"/>
  <c r="D54" i="59"/>
  <c r="C54" i="59"/>
  <c r="B54" i="59"/>
  <c r="D53" i="59"/>
  <c r="C53" i="59"/>
  <c r="B53" i="59"/>
  <c r="D52" i="59"/>
  <c r="C52" i="59"/>
  <c r="B52" i="59"/>
  <c r="D51" i="59"/>
  <c r="D47" i="59"/>
  <c r="C47" i="59"/>
  <c r="D44" i="59"/>
  <c r="C44" i="59"/>
  <c r="D43" i="59"/>
  <c r="C43" i="59"/>
  <c r="D39" i="59"/>
  <c r="C39" i="59"/>
  <c r="D38" i="59"/>
  <c r="C38" i="59"/>
  <c r="D25" i="59"/>
  <c r="C25" i="59"/>
  <c r="D13" i="59"/>
  <c r="C13" i="59"/>
  <c r="B13" i="59"/>
  <c r="D12" i="59"/>
  <c r="C12" i="59"/>
  <c r="D11" i="59"/>
  <c r="C11" i="59"/>
  <c r="B11" i="59"/>
  <c r="D8" i="59"/>
  <c r="C8" i="59"/>
  <c r="B8" i="59"/>
  <c r="D5" i="59"/>
  <c r="C5" i="59"/>
  <c r="B5" i="59"/>
  <c r="D3" i="59"/>
  <c r="C3" i="59"/>
  <c r="D177" i="59"/>
  <c r="C174" i="59"/>
  <c r="B174" i="59"/>
  <c r="D163" i="59"/>
  <c r="D144" i="59"/>
  <c r="D143" i="59"/>
  <c r="D121" i="59"/>
  <c r="D120" i="59"/>
  <c r="D119" i="59"/>
  <c r="D111" i="59"/>
  <c r="D110" i="59"/>
  <c r="D107" i="59"/>
  <c r="D81" i="59"/>
  <c r="C81" i="59"/>
  <c r="B81" i="59"/>
  <c r="D80" i="59"/>
  <c r="C80" i="59"/>
  <c r="B80" i="59"/>
  <c r="D56" i="59"/>
  <c r="C56" i="59"/>
  <c r="B56" i="59"/>
  <c r="D48" i="59"/>
  <c r="D46" i="59"/>
  <c r="C46" i="59"/>
  <c r="D45" i="59"/>
  <c r="C45" i="59"/>
  <c r="B45" i="59"/>
  <c r="D36" i="59"/>
  <c r="C36" i="59"/>
  <c r="D35" i="59"/>
  <c r="C35" i="59"/>
  <c r="D31" i="59"/>
  <c r="C31" i="59"/>
  <c r="D30" i="59"/>
  <c r="C30" i="59"/>
  <c r="B30" i="59"/>
  <c r="D18" i="59"/>
  <c r="D14" i="59"/>
  <c r="C14" i="59"/>
  <c r="D10" i="59"/>
  <c r="C10" i="59"/>
  <c r="D9" i="59"/>
  <c r="C9" i="59"/>
  <c r="D62" i="59"/>
  <c r="C62" i="59"/>
  <c r="B62" i="59"/>
  <c r="D58" i="59"/>
  <c r="C58" i="59"/>
  <c r="B58" i="59"/>
  <c r="D49" i="59"/>
  <c r="C49" i="59"/>
  <c r="D42" i="59"/>
  <c r="C42" i="59"/>
  <c r="D34" i="59"/>
  <c r="C34" i="59"/>
  <c r="B34" i="59"/>
  <c r="D26" i="59"/>
  <c r="C26" i="59"/>
  <c r="D17" i="59"/>
  <c r="C17" i="59"/>
  <c r="D16" i="59"/>
  <c r="C16" i="59"/>
  <c r="B16" i="59"/>
  <c r="D15" i="59"/>
  <c r="C15" i="59"/>
  <c r="D4" i="59"/>
  <c r="C4" i="59"/>
  <c r="D180" i="59"/>
  <c r="C180" i="59"/>
  <c r="B180" i="59"/>
  <c r="D173" i="59"/>
  <c r="C173" i="59"/>
  <c r="D179" i="59"/>
  <c r="D146" i="59"/>
  <c r="D95" i="59"/>
  <c r="D97" i="59"/>
  <c r="C97" i="59"/>
  <c r="D90" i="59"/>
  <c r="A20" i="50"/>
  <c r="C19" i="50"/>
  <c r="B19" i="50"/>
  <c r="A19" i="50"/>
  <c r="C17" i="50"/>
  <c r="B17" i="50"/>
  <c r="A17" i="50"/>
  <c r="C15" i="50"/>
  <c r="B15" i="50"/>
  <c r="A15" i="50"/>
  <c r="C14" i="50"/>
  <c r="B14" i="50"/>
  <c r="A14" i="50"/>
  <c r="C12" i="50"/>
  <c r="B12" i="50"/>
  <c r="A12" i="50"/>
  <c r="C11" i="50"/>
  <c r="B11" i="50"/>
  <c r="A11" i="50"/>
  <c r="C9" i="50"/>
  <c r="B9" i="50"/>
  <c r="A9" i="50"/>
  <c r="C7" i="50"/>
  <c r="B7" i="50"/>
  <c r="A7" i="50"/>
  <c r="C6" i="50"/>
  <c r="B6" i="50"/>
  <c r="A6" i="50"/>
  <c r="C5" i="50"/>
  <c r="B5" i="50"/>
  <c r="A5" i="50"/>
  <c r="C176" i="59"/>
  <c r="B176" i="59"/>
  <c r="D142" i="59"/>
  <c r="B24" i="50"/>
  <c r="A24" i="50"/>
  <c r="C21" i="50"/>
  <c r="B21" i="50"/>
  <c r="A21" i="50"/>
  <c r="C18" i="50"/>
  <c r="B18" i="50"/>
  <c r="A18" i="50"/>
  <c r="C16" i="50"/>
  <c r="B16" i="50"/>
  <c r="A16" i="50"/>
  <c r="C13" i="50"/>
  <c r="B13" i="50"/>
  <c r="A13" i="50"/>
  <c r="C10" i="50"/>
  <c r="B10" i="50"/>
  <c r="A10" i="50"/>
  <c r="C8" i="50"/>
  <c r="B8" i="50"/>
  <c r="A8" i="50"/>
  <c r="C4" i="50"/>
  <c r="B4" i="50"/>
  <c r="A4" i="50"/>
  <c r="D171" i="59"/>
  <c r="C171" i="59"/>
  <c r="B171" i="59"/>
  <c r="D32" i="59"/>
  <c r="C32" i="59"/>
  <c r="D104" i="59"/>
  <c r="D87" i="59"/>
  <c r="C87" i="59"/>
  <c r="D33" i="59"/>
  <c r="C33" i="59"/>
  <c r="D93" i="59"/>
  <c r="C93" i="59"/>
  <c r="B93" i="59"/>
  <c r="D85" i="59"/>
  <c r="B121" i="50"/>
  <c r="A121" i="50"/>
  <c r="C117" i="50"/>
  <c r="B117" i="50"/>
  <c r="A117" i="50"/>
  <c r="B116" i="50"/>
  <c r="A116" i="50"/>
  <c r="C114" i="50"/>
  <c r="B114" i="50"/>
  <c r="A114" i="50"/>
  <c r="C112" i="50"/>
  <c r="B112" i="50"/>
  <c r="A112" i="50"/>
  <c r="C111" i="50"/>
  <c r="B111" i="50"/>
  <c r="A111" i="50"/>
  <c r="C108" i="50"/>
  <c r="B108" i="50"/>
  <c r="A108" i="50"/>
  <c r="C106" i="50"/>
  <c r="B106" i="50"/>
  <c r="A106" i="50"/>
  <c r="C104" i="50"/>
  <c r="B104" i="50"/>
  <c r="A104" i="50"/>
  <c r="C102" i="50"/>
  <c r="B102" i="50"/>
  <c r="A102" i="50"/>
  <c r="C99" i="50"/>
  <c r="B99" i="50"/>
  <c r="A99" i="50"/>
  <c r="C97" i="50"/>
  <c r="B97" i="50"/>
  <c r="A97" i="50"/>
  <c r="C95" i="50"/>
  <c r="B95" i="50"/>
  <c r="A95" i="50"/>
  <c r="C93" i="50"/>
  <c r="B93" i="50"/>
  <c r="A93" i="50"/>
  <c r="C91" i="50"/>
  <c r="B91" i="50"/>
  <c r="A91" i="50"/>
  <c r="C89" i="50"/>
  <c r="B89" i="50"/>
  <c r="A89" i="50"/>
  <c r="C87" i="50"/>
  <c r="B87" i="50"/>
  <c r="A87" i="50"/>
  <c r="C84" i="50"/>
  <c r="B84" i="50"/>
  <c r="A84" i="50"/>
  <c r="C82" i="50"/>
  <c r="B82" i="50"/>
  <c r="A82" i="50"/>
  <c r="C79" i="50"/>
  <c r="B79" i="50"/>
  <c r="A79" i="50"/>
  <c r="C76" i="50"/>
  <c r="B76" i="50"/>
  <c r="A76" i="50"/>
  <c r="C74" i="50"/>
  <c r="B74" i="50"/>
  <c r="A74" i="50"/>
  <c r="C72" i="50"/>
  <c r="B72" i="50"/>
  <c r="A72" i="50"/>
  <c r="C70" i="50"/>
  <c r="B70" i="50"/>
  <c r="A70" i="50"/>
  <c r="C67" i="50"/>
  <c r="B67" i="50"/>
  <c r="A67" i="50"/>
  <c r="B120" i="50"/>
  <c r="A120" i="50"/>
  <c r="B119" i="50"/>
  <c r="A119" i="50"/>
  <c r="C118" i="50"/>
  <c r="B118" i="50"/>
  <c r="A118" i="50"/>
  <c r="B115" i="50"/>
  <c r="A115" i="50"/>
  <c r="C113" i="50"/>
  <c r="B113" i="50"/>
  <c r="A113" i="50"/>
  <c r="C110" i="50"/>
  <c r="B110" i="50"/>
  <c r="A110" i="50"/>
  <c r="C109" i="50"/>
  <c r="B109" i="50"/>
  <c r="A109" i="50"/>
  <c r="C107" i="50"/>
  <c r="B107" i="50"/>
  <c r="A107" i="50"/>
  <c r="C105" i="50"/>
  <c r="B105" i="50"/>
  <c r="A105" i="50"/>
  <c r="C103" i="50"/>
  <c r="B103" i="50"/>
  <c r="A103" i="50"/>
  <c r="C101" i="50"/>
  <c r="B101" i="50"/>
  <c r="A101" i="50"/>
  <c r="C100" i="50"/>
  <c r="B100" i="50"/>
  <c r="A100" i="50"/>
  <c r="C98" i="50"/>
  <c r="B98" i="50"/>
  <c r="A98" i="50"/>
  <c r="C96" i="50"/>
  <c r="B96" i="50"/>
  <c r="A96" i="50"/>
  <c r="C94" i="50"/>
  <c r="B94" i="50"/>
  <c r="A94" i="50"/>
  <c r="C92" i="50"/>
  <c r="B92" i="50"/>
  <c r="A92" i="50"/>
  <c r="C90" i="50"/>
  <c r="B90" i="50"/>
  <c r="A90" i="50"/>
  <c r="C88" i="50"/>
  <c r="B88" i="50"/>
  <c r="A88" i="50"/>
  <c r="C86" i="50"/>
  <c r="B86" i="50"/>
  <c r="A86" i="50"/>
  <c r="C85" i="50"/>
  <c r="B85" i="50"/>
  <c r="A85" i="50"/>
  <c r="C83" i="50"/>
  <c r="B83" i="50"/>
  <c r="A83" i="50"/>
  <c r="C81" i="50"/>
  <c r="B81" i="50"/>
  <c r="A81" i="50"/>
  <c r="C80" i="50"/>
  <c r="B80" i="50"/>
  <c r="A80" i="50"/>
  <c r="C78" i="50"/>
  <c r="B78" i="50"/>
  <c r="A78" i="50"/>
  <c r="C77" i="50"/>
  <c r="B77" i="50"/>
  <c r="A77" i="50"/>
  <c r="C75" i="50"/>
  <c r="B75" i="50"/>
  <c r="A75" i="50"/>
  <c r="C73" i="50"/>
  <c r="B73" i="50"/>
  <c r="A73" i="50"/>
  <c r="C71" i="50"/>
  <c r="B71" i="50"/>
  <c r="A71" i="50"/>
  <c r="C69" i="50"/>
  <c r="B69" i="50"/>
  <c r="A69" i="50"/>
  <c r="C68" i="50"/>
  <c r="B68" i="50"/>
  <c r="A68" i="50"/>
  <c r="C66" i="50"/>
  <c r="B66" i="50"/>
  <c r="A66" i="50"/>
  <c r="C40" i="50"/>
  <c r="B40" i="50"/>
  <c r="A40" i="50"/>
  <c r="D149" i="59"/>
  <c r="C149" i="59"/>
  <c r="D137" i="59"/>
  <c r="C41" i="50"/>
  <c r="B41" i="50"/>
  <c r="A41" i="50"/>
  <c r="D139" i="59"/>
  <c r="D145" i="59"/>
  <c r="C145" i="59"/>
  <c r="D138" i="59"/>
  <c r="C138" i="59"/>
  <c r="C42" i="50"/>
  <c r="B42" i="50"/>
  <c r="A42" i="50"/>
  <c r="D162" i="59"/>
  <c r="D156" i="59"/>
  <c r="D19" i="59"/>
  <c r="C19" i="59"/>
  <c r="B19" i="59"/>
  <c r="B43" i="50"/>
  <c r="A43" i="50"/>
  <c r="D147" i="59"/>
  <c r="D99" i="59"/>
  <c r="D98" i="59"/>
  <c r="D89" i="59"/>
  <c r="D101" i="59"/>
  <c r="D96" i="59"/>
  <c r="C96" i="59"/>
  <c r="B96" i="59"/>
  <c r="D124" i="59"/>
  <c r="D86" i="59"/>
  <c r="C86" i="59"/>
  <c r="D159" i="59"/>
  <c r="D22" i="59"/>
  <c r="C22" i="59"/>
  <c r="B46" i="50"/>
  <c r="A46" i="50"/>
  <c r="D92" i="59"/>
  <c r="C92" i="59"/>
  <c r="C64" i="50"/>
  <c r="B64" i="50"/>
  <c r="A64" i="50"/>
  <c r="B62" i="50"/>
  <c r="A62" i="50"/>
  <c r="B60" i="50"/>
  <c r="A60" i="50"/>
  <c r="C58" i="50"/>
  <c r="B58" i="50"/>
  <c r="A58" i="50"/>
  <c r="C56" i="50"/>
  <c r="B56" i="50"/>
  <c r="A56" i="50"/>
  <c r="C54" i="50"/>
  <c r="B54" i="50"/>
  <c r="A54" i="50"/>
  <c r="D136" i="59"/>
  <c r="C136" i="59"/>
  <c r="B59" i="50"/>
  <c r="A59" i="50"/>
  <c r="C57" i="50"/>
  <c r="B57" i="50"/>
  <c r="A57" i="50"/>
  <c r="C55" i="50"/>
  <c r="B55" i="50"/>
  <c r="A55" i="50"/>
  <c r="C53" i="50"/>
  <c r="B53" i="50"/>
  <c r="A53" i="50"/>
  <c r="C52" i="50"/>
  <c r="B52" i="50"/>
  <c r="A52" i="50"/>
  <c r="D168" i="59"/>
  <c r="C168" i="59"/>
  <c r="D167" i="59"/>
  <c r="C167" i="59"/>
  <c r="B167" i="59"/>
  <c r="D164" i="59"/>
  <c r="C164" i="59"/>
  <c r="B164" i="59"/>
  <c r="D153" i="59"/>
  <c r="C153" i="59"/>
  <c r="B153" i="59"/>
  <c r="D125" i="59"/>
  <c r="C125" i="59"/>
  <c r="B125" i="59"/>
  <c r="D122" i="59"/>
  <c r="C122" i="59"/>
  <c r="D115" i="59"/>
  <c r="C115" i="59"/>
  <c r="B115" i="59"/>
  <c r="D112" i="59"/>
  <c r="C112" i="59"/>
  <c r="B112" i="59"/>
  <c r="D102" i="59"/>
  <c r="C102" i="59"/>
  <c r="B102" i="59"/>
  <c r="D88" i="59"/>
  <c r="C88" i="59"/>
  <c r="B88" i="59"/>
  <c r="D83" i="59"/>
  <c r="C83" i="59"/>
  <c r="B83" i="59"/>
  <c r="D170" i="59"/>
  <c r="C170" i="59"/>
  <c r="D166" i="59"/>
  <c r="C166" i="59"/>
  <c r="B166" i="59"/>
  <c r="D161" i="59"/>
  <c r="C161" i="59"/>
  <c r="B161" i="59"/>
  <c r="D91" i="59"/>
  <c r="C91" i="59"/>
  <c r="B91" i="59"/>
  <c r="D50" i="59"/>
  <c r="C50" i="59"/>
  <c r="B50" i="59"/>
  <c r="D6" i="59"/>
  <c r="C6" i="59"/>
  <c r="B6" i="59"/>
  <c r="C189" i="50"/>
  <c r="B189" i="50"/>
  <c r="A189" i="50"/>
  <c r="C187" i="50"/>
  <c r="B187" i="50"/>
  <c r="A187" i="50"/>
  <c r="C185" i="50"/>
  <c r="B185" i="50"/>
  <c r="C184" i="50"/>
  <c r="B184" i="50"/>
  <c r="C183" i="50"/>
  <c r="B183" i="50"/>
  <c r="A183" i="50"/>
  <c r="C182" i="50"/>
  <c r="B182" i="50"/>
  <c r="C181" i="50"/>
  <c r="B181" i="50"/>
  <c r="A181" i="50"/>
  <c r="C173" i="50"/>
  <c r="B173" i="50"/>
  <c r="A173" i="50"/>
  <c r="C169" i="50"/>
  <c r="B169" i="50"/>
  <c r="A169" i="50"/>
  <c r="C166" i="50"/>
  <c r="B166" i="50"/>
  <c r="C165" i="50"/>
  <c r="B165" i="50"/>
  <c r="A165" i="50"/>
  <c r="C158" i="50"/>
  <c r="B158" i="50"/>
  <c r="A158" i="50"/>
  <c r="C156" i="50"/>
  <c r="B156" i="50"/>
  <c r="A156" i="50"/>
  <c r="C154" i="50"/>
  <c r="B154" i="50"/>
  <c r="A154" i="50"/>
  <c r="C153" i="50"/>
  <c r="B153" i="50"/>
  <c r="A153" i="50"/>
  <c r="C151" i="50"/>
  <c r="B151" i="50"/>
  <c r="A151" i="50"/>
  <c r="C150" i="50"/>
  <c r="B150" i="50"/>
  <c r="A150" i="50"/>
  <c r="C147" i="50"/>
  <c r="B147" i="50"/>
  <c r="A147" i="50"/>
  <c r="C145" i="50"/>
  <c r="B145" i="50"/>
  <c r="A145" i="50"/>
  <c r="C143" i="50"/>
  <c r="B143" i="50"/>
  <c r="A143" i="50"/>
  <c r="C138" i="50"/>
  <c r="B138" i="50"/>
  <c r="A138" i="50"/>
  <c r="C130" i="50"/>
  <c r="B130" i="50"/>
  <c r="A130" i="50"/>
  <c r="C126" i="50"/>
  <c r="B126" i="50"/>
  <c r="C125" i="50"/>
  <c r="B125" i="50"/>
  <c r="C124" i="50"/>
  <c r="B124" i="50"/>
  <c r="A124" i="50"/>
  <c r="D175" i="59"/>
  <c r="C175" i="59"/>
  <c r="B175" i="59"/>
  <c r="D172" i="59"/>
  <c r="C172" i="59"/>
  <c r="B172" i="59"/>
  <c r="D169" i="59"/>
  <c r="C169" i="59"/>
  <c r="B169" i="59"/>
  <c r="D165" i="59"/>
  <c r="C165" i="59"/>
  <c r="D160" i="59"/>
  <c r="C160" i="59"/>
  <c r="B160" i="59"/>
  <c r="D155" i="59"/>
  <c r="C155" i="59"/>
  <c r="B155" i="59"/>
  <c r="D154" i="59"/>
  <c r="D150" i="59"/>
  <c r="C150" i="59"/>
  <c r="B150" i="59"/>
  <c r="D118" i="59"/>
  <c r="C118" i="59"/>
  <c r="B118" i="59"/>
  <c r="D109" i="59"/>
  <c r="C109" i="59"/>
  <c r="B109" i="59"/>
  <c r="D106" i="59"/>
  <c r="C106" i="59"/>
  <c r="B106" i="59"/>
  <c r="D103" i="59"/>
  <c r="C103" i="59"/>
  <c r="B103" i="59"/>
  <c r="D82" i="59"/>
  <c r="C82" i="59"/>
  <c r="B82" i="59"/>
  <c r="D2" i="59"/>
  <c r="C2" i="59"/>
  <c r="B2" i="59"/>
  <c r="C186" i="50"/>
  <c r="B186" i="50"/>
  <c r="C180" i="50"/>
  <c r="B180" i="50"/>
  <c r="C179" i="50"/>
  <c r="B179" i="50"/>
  <c r="A179" i="50"/>
  <c r="C178" i="50"/>
  <c r="B178" i="50"/>
  <c r="C176" i="50"/>
  <c r="B176" i="50"/>
  <c r="A176" i="50"/>
  <c r="C175" i="50"/>
  <c r="B175" i="50"/>
  <c r="C174" i="50"/>
  <c r="B174" i="50"/>
  <c r="A174" i="50"/>
  <c r="C171" i="50"/>
  <c r="B171" i="50"/>
  <c r="A171" i="50"/>
  <c r="C168" i="50"/>
  <c r="B168" i="50"/>
  <c r="C167" i="50"/>
  <c r="B167" i="50"/>
  <c r="A167" i="50"/>
  <c r="C164" i="50"/>
  <c r="B164" i="50"/>
  <c r="C163" i="50"/>
  <c r="B163" i="50"/>
  <c r="A163" i="50"/>
  <c r="C162" i="50"/>
  <c r="B162" i="50"/>
  <c r="C161" i="50"/>
  <c r="B161" i="50"/>
  <c r="A161" i="50"/>
  <c r="C160" i="50"/>
  <c r="B160" i="50"/>
  <c r="A160" i="50"/>
  <c r="C144" i="50"/>
  <c r="B144" i="50"/>
  <c r="A144" i="50"/>
  <c r="C141" i="50"/>
  <c r="B141" i="50"/>
  <c r="A141" i="50"/>
  <c r="C140" i="50"/>
  <c r="B140" i="50"/>
  <c r="C139" i="50"/>
  <c r="B139" i="50"/>
  <c r="A139" i="50"/>
  <c r="C136" i="50"/>
  <c r="B136" i="50"/>
  <c r="A136" i="50"/>
  <c r="C129" i="50"/>
  <c r="B129" i="50"/>
  <c r="C128" i="50"/>
  <c r="B128" i="50"/>
  <c r="A128" i="50"/>
  <c r="C127" i="50"/>
  <c r="B127" i="50"/>
  <c r="H49" i="60"/>
  <c r="G49" i="60"/>
  <c r="F49" i="60"/>
  <c r="H45" i="60"/>
  <c r="G45" i="60"/>
  <c r="F45" i="60"/>
  <c r="H42" i="60"/>
  <c r="G42" i="60"/>
  <c r="F42" i="60"/>
  <c r="H36" i="60"/>
  <c r="G36" i="60"/>
  <c r="F36" i="60"/>
  <c r="H32" i="60"/>
  <c r="G32" i="60"/>
  <c r="F32" i="60"/>
  <c r="H30" i="60"/>
  <c r="G30" i="60"/>
  <c r="F30" i="60"/>
  <c r="H27" i="60"/>
  <c r="G27" i="60"/>
  <c r="F27" i="60"/>
  <c r="H24" i="60"/>
  <c r="G24" i="60"/>
  <c r="F24" i="60"/>
  <c r="H19" i="60"/>
  <c r="G19" i="60"/>
  <c r="F19" i="60"/>
  <c r="H17" i="60"/>
  <c r="G17" i="60"/>
  <c r="F17" i="60"/>
  <c r="J50" i="58"/>
  <c r="J49" i="58"/>
  <c r="H47" i="58"/>
  <c r="G47" i="58"/>
  <c r="G48" i="58"/>
  <c r="F47" i="58"/>
  <c r="J46" i="58"/>
  <c r="J45" i="58"/>
  <c r="J44" i="58"/>
  <c r="J43" i="58"/>
  <c r="H40" i="58"/>
  <c r="G40" i="58"/>
  <c r="F40" i="58"/>
  <c r="J39" i="58"/>
  <c r="J38" i="58"/>
  <c r="J37" i="58"/>
  <c r="H33" i="58"/>
  <c r="G33" i="58"/>
  <c r="J32" i="58"/>
  <c r="J31" i="58"/>
  <c r="J30" i="58"/>
  <c r="H29" i="58"/>
  <c r="G29" i="58"/>
  <c r="F29" i="58"/>
  <c r="J28" i="58"/>
  <c r="J27" i="58"/>
  <c r="J26" i="58"/>
  <c r="J25" i="58"/>
  <c r="J24" i="58"/>
  <c r="H23" i="58"/>
  <c r="G23" i="58"/>
  <c r="F23" i="58"/>
  <c r="J22" i="58"/>
  <c r="J21" i="58"/>
  <c r="J20" i="58"/>
  <c r="J18" i="58"/>
  <c r="J17" i="58"/>
  <c r="J16" i="58"/>
  <c r="J15" i="58"/>
  <c r="J14" i="58"/>
  <c r="J13" i="58"/>
  <c r="J12" i="58"/>
  <c r="J11" i="58"/>
  <c r="J10" i="58"/>
  <c r="J9" i="58"/>
  <c r="J8" i="58"/>
  <c r="J7" i="58"/>
  <c r="D158" i="59"/>
  <c r="C158" i="59"/>
  <c r="B158" i="59"/>
  <c r="D157" i="59"/>
  <c r="C157" i="59"/>
  <c r="B157" i="59"/>
  <c r="D152" i="59"/>
  <c r="C152" i="59"/>
  <c r="B152" i="59"/>
  <c r="D151" i="59"/>
  <c r="C151" i="59"/>
  <c r="B151" i="59"/>
  <c r="D140" i="59"/>
  <c r="C140" i="59"/>
  <c r="B140" i="59"/>
  <c r="C114" i="59"/>
  <c r="B114" i="59"/>
  <c r="D108" i="59"/>
  <c r="C108" i="59"/>
  <c r="B108" i="59"/>
  <c r="D105" i="59"/>
  <c r="C105" i="59"/>
  <c r="B105" i="59"/>
  <c r="D84" i="59"/>
  <c r="C84" i="59"/>
  <c r="B84" i="59"/>
  <c r="C190" i="50"/>
  <c r="B190" i="50"/>
  <c r="A190" i="50"/>
  <c r="B188" i="50"/>
  <c r="A188" i="50"/>
  <c r="C177" i="50"/>
  <c r="B177" i="50"/>
  <c r="A177" i="50"/>
  <c r="C172" i="50"/>
  <c r="B172" i="50"/>
  <c r="A172" i="50"/>
  <c r="C170" i="50"/>
  <c r="B170" i="50"/>
  <c r="A170" i="50"/>
  <c r="C159" i="50"/>
  <c r="B159" i="50"/>
  <c r="A159" i="50"/>
  <c r="B157" i="50"/>
  <c r="A157" i="50"/>
  <c r="C155" i="50"/>
  <c r="B155" i="50"/>
  <c r="A155" i="50"/>
  <c r="C152" i="50"/>
  <c r="B152" i="50"/>
  <c r="A152" i="50"/>
  <c r="C149" i="50"/>
  <c r="B149" i="50"/>
  <c r="A149" i="50"/>
  <c r="C148" i="50"/>
  <c r="B148" i="50"/>
  <c r="A148" i="50"/>
  <c r="C146" i="50"/>
  <c r="B146" i="50"/>
  <c r="A146" i="50"/>
  <c r="C142" i="50"/>
  <c r="B142" i="50"/>
  <c r="A142" i="50"/>
  <c r="C137" i="50"/>
  <c r="B137" i="50"/>
  <c r="A137" i="50"/>
  <c r="C135" i="50"/>
  <c r="B135" i="50"/>
  <c r="A135" i="50"/>
  <c r="C134" i="50"/>
  <c r="B134" i="50"/>
  <c r="A134" i="50"/>
  <c r="C133" i="50"/>
  <c r="B133" i="50"/>
  <c r="A133" i="50"/>
  <c r="C132" i="50"/>
  <c r="B132" i="50"/>
  <c r="A132" i="50"/>
  <c r="C131" i="50"/>
  <c r="B131" i="50"/>
  <c r="A131" i="50"/>
  <c r="J6" i="58"/>
  <c r="G34" i="58"/>
  <c r="H34" i="58"/>
  <c r="F34" i="58"/>
  <c r="B12" i="59"/>
  <c r="C77" i="59"/>
  <c r="B77" i="59"/>
  <c r="C90" i="59"/>
  <c r="B90" i="59"/>
  <c r="C21" i="59"/>
  <c r="B21" i="59"/>
  <c r="C135" i="59"/>
  <c r="B135" i="59"/>
  <c r="A61" i="50"/>
  <c r="C179" i="59"/>
  <c r="B179" i="59"/>
  <c r="B173" i="59"/>
  <c r="C116" i="59"/>
  <c r="B116" i="59"/>
  <c r="C113" i="59"/>
  <c r="B113" i="59"/>
  <c r="C95" i="59"/>
  <c r="B95" i="59"/>
  <c r="B47" i="59"/>
  <c r="B38" i="59"/>
  <c r="C29" i="59"/>
  <c r="B29" i="59"/>
  <c r="B20" i="59"/>
  <c r="C133" i="59"/>
  <c r="B133" i="59"/>
  <c r="B44" i="59"/>
  <c r="B37" i="59"/>
  <c r="C146" i="59"/>
  <c r="B146" i="59"/>
  <c r="B130" i="59"/>
  <c r="C127" i="59"/>
  <c r="B127" i="59"/>
  <c r="B126" i="59"/>
  <c r="C117" i="59"/>
  <c r="B117" i="59"/>
  <c r="C100" i="59"/>
  <c r="B100" i="59"/>
  <c r="B97" i="59"/>
  <c r="C51" i="59"/>
  <c r="B51" i="59"/>
  <c r="B43" i="59"/>
  <c r="B40" i="59"/>
  <c r="B39" i="59"/>
  <c r="B25" i="59"/>
  <c r="C177" i="59"/>
  <c r="B177" i="59"/>
  <c r="C178" i="59"/>
  <c r="B178" i="59"/>
  <c r="C163" i="59"/>
  <c r="B163" i="59"/>
  <c r="B46" i="59"/>
  <c r="B35" i="59"/>
  <c r="C144" i="59"/>
  <c r="B144" i="59"/>
  <c r="C107" i="59"/>
  <c r="B107" i="59"/>
  <c r="B49" i="59"/>
  <c r="C48" i="59"/>
  <c r="B48" i="59"/>
  <c r="B31" i="59"/>
  <c r="C79" i="59"/>
  <c r="B79" i="59"/>
  <c r="C18" i="59"/>
  <c r="B18" i="59"/>
  <c r="C119" i="59"/>
  <c r="B119" i="59"/>
  <c r="B17" i="59"/>
  <c r="B14" i="59"/>
  <c r="B9" i="59"/>
  <c r="B4" i="59"/>
  <c r="C121" i="59"/>
  <c r="B121" i="59"/>
  <c r="B3" i="59"/>
  <c r="B42" i="59"/>
  <c r="B36" i="59"/>
  <c r="B26" i="59"/>
  <c r="C143" i="59"/>
  <c r="B143" i="59"/>
  <c r="C120" i="59"/>
  <c r="B120" i="59"/>
  <c r="C111" i="59"/>
  <c r="B111" i="59"/>
  <c r="B15" i="59"/>
  <c r="B10" i="59"/>
  <c r="C142" i="59"/>
  <c r="B142" i="59"/>
  <c r="B32" i="59"/>
  <c r="B87" i="59"/>
  <c r="C104" i="59"/>
  <c r="B104" i="59"/>
  <c r="B33" i="59"/>
  <c r="C85" i="59"/>
  <c r="B85" i="59"/>
  <c r="C156" i="59"/>
  <c r="B156" i="59"/>
  <c r="B149" i="59"/>
  <c r="B141" i="59"/>
  <c r="B138" i="59"/>
  <c r="C147" i="59"/>
  <c r="B147" i="59"/>
  <c r="C162" i="59"/>
  <c r="B162" i="59"/>
  <c r="B145" i="59"/>
  <c r="C139" i="59"/>
  <c r="B139" i="59"/>
  <c r="C101" i="59"/>
  <c r="B101" i="59"/>
  <c r="B22" i="59"/>
  <c r="C137" i="59"/>
  <c r="B137" i="59"/>
  <c r="C89" i="59"/>
  <c r="B89" i="59"/>
  <c r="B86" i="59"/>
  <c r="C98" i="59"/>
  <c r="B98" i="59"/>
  <c r="B122" i="59"/>
  <c r="B168" i="59"/>
  <c r="C159" i="59"/>
  <c r="B159" i="59"/>
  <c r="B92" i="59"/>
  <c r="B136" i="59"/>
  <c r="C124" i="59"/>
  <c r="B124" i="59"/>
  <c r="H47" i="60"/>
  <c r="G47" i="60"/>
  <c r="F47" i="60"/>
  <c r="J33" i="58"/>
  <c r="J29" i="58"/>
  <c r="J23" i="58"/>
  <c r="A185" i="50"/>
  <c r="B170" i="59"/>
  <c r="A184" i="50"/>
  <c r="A182" i="50"/>
  <c r="A126" i="50"/>
  <c r="B165" i="59"/>
  <c r="A186" i="50"/>
  <c r="A180" i="50"/>
  <c r="A168" i="50"/>
  <c r="A166" i="50"/>
  <c r="A125" i="50"/>
  <c r="A162" i="50"/>
  <c r="A127" i="50"/>
  <c r="H37" i="60"/>
  <c r="G37" i="60"/>
  <c r="F37" i="60"/>
  <c r="H21" i="60"/>
  <c r="G21" i="60"/>
  <c r="F21" i="60"/>
  <c r="H48" i="58"/>
  <c r="F48" i="58"/>
  <c r="J47" i="58"/>
  <c r="J40" i="58"/>
  <c r="A178" i="50"/>
  <c r="A164" i="50"/>
  <c r="A140" i="50"/>
  <c r="A129" i="50"/>
  <c r="A175" i="50"/>
  <c r="J48" i="58"/>
  <c r="H50" i="60"/>
  <c r="J34" i="58"/>
  <c r="G50" i="60"/>
  <c r="F50" i="60"/>
  <c r="M4" i="58"/>
  <c r="M5" i="58"/>
  <c r="F35" i="58"/>
  <c r="F36" i="58"/>
  <c r="F41" i="58"/>
  <c r="F51" i="58"/>
  <c r="F57" i="60"/>
  <c r="F59" i="60"/>
  <c r="F42" i="58"/>
  <c r="N5" i="58"/>
  <c r="G35" i="58"/>
  <c r="O4" i="58"/>
  <c r="N4" i="58"/>
  <c r="O5" i="58"/>
  <c r="H35" i="58"/>
  <c r="P4" i="58"/>
  <c r="P5" i="58"/>
  <c r="G36" i="58"/>
  <c r="G41" i="58"/>
  <c r="M35" i="58"/>
  <c r="J35" i="58"/>
  <c r="H36" i="58"/>
  <c r="H41" i="58"/>
  <c r="M36" i="58"/>
  <c r="J36" i="58"/>
  <c r="G51" i="58"/>
  <c r="G57" i="60"/>
  <c r="G59" i="60"/>
  <c r="G42" i="58"/>
  <c r="J41" i="58"/>
  <c r="H42" i="58"/>
  <c r="H51" i="58"/>
  <c r="J51" i="58"/>
  <c r="J42" i="58"/>
  <c r="H57" i="60"/>
  <c r="H59" i="60"/>
  <c r="H66" i="60"/>
</calcChain>
</file>

<file path=xl/sharedStrings.xml><?xml version="1.0" encoding="utf-8"?>
<sst xmlns="http://schemas.openxmlformats.org/spreadsheetml/2006/main" count="1225" uniqueCount="611">
  <si>
    <t>NC</t>
  </si>
  <si>
    <t>LB</t>
  </si>
  <si>
    <t>Capital souscrit, appelé, versé, non amorti</t>
  </si>
  <si>
    <t>111000</t>
  </si>
  <si>
    <t>RÉSERVE LÉGALE</t>
  </si>
  <si>
    <t>Réserves diverses</t>
  </si>
  <si>
    <t>REPORT À NOUVEAU CRÉDITEUR</t>
  </si>
  <si>
    <t>129100</t>
  </si>
  <si>
    <t>Perte nette à reporter</t>
  </si>
  <si>
    <t>Résultat en attente d'affectation</t>
  </si>
  <si>
    <t>130100</t>
  </si>
  <si>
    <t>Résultat en instance d'affectation : Bénéfice</t>
  </si>
  <si>
    <t>Résultat en instance d'affectation : Perte</t>
  </si>
  <si>
    <t>162000</t>
  </si>
  <si>
    <t>Emprunts auprès des établissements de crédit</t>
  </si>
  <si>
    <t>Emprunts auprès des établissements de crédit - CMT 150M</t>
  </si>
  <si>
    <t>Emprunts auprès des établissements de crédit - CMT 30M</t>
  </si>
  <si>
    <t>Emprunts auprès des établissements de crédit - CMT 20M</t>
  </si>
  <si>
    <t>Emprunts auprès des établissements de crédit - CMT 30M Véhicule</t>
  </si>
  <si>
    <t>sur emprunts et dettes auprès des établissements de crédit</t>
  </si>
  <si>
    <t>DETTES DE LOCATION ACQUISITION  / CREDIT - BAIL MOBILIER</t>
  </si>
  <si>
    <t>DETTES DE LOCATION ACQUISITION  / CREDIT - BAIL MOBILIER - CMT 30M véhicule</t>
  </si>
  <si>
    <t>sur dettes de location acquisition / crédit-bail mobilier</t>
  </si>
  <si>
    <t>Provisions pour pensions et obligations similaires - engagement de retraite</t>
  </si>
  <si>
    <t>Logiciels</t>
  </si>
  <si>
    <t>Logiciels et internet</t>
  </si>
  <si>
    <t>235100</t>
  </si>
  <si>
    <t>Installations générales</t>
  </si>
  <si>
    <t>Autres Aménagements de bureau</t>
  </si>
  <si>
    <t>244100</t>
  </si>
  <si>
    <t>Matériel de bureau</t>
  </si>
  <si>
    <t>244200</t>
  </si>
  <si>
    <t>Matériel informatique</t>
  </si>
  <si>
    <t>244400</t>
  </si>
  <si>
    <t>Mobilier de bureau</t>
  </si>
  <si>
    <t>Matériel de transport de location-acquisition</t>
  </si>
  <si>
    <t>Dépôts pour loyers d’avance</t>
  </si>
  <si>
    <t>Amortissements des logiciels</t>
  </si>
  <si>
    <t>283400</t>
  </si>
  <si>
    <t>Amortissements des installations techniques</t>
  </si>
  <si>
    <t>Amortissements des aménagements de bureaux</t>
  </si>
  <si>
    <t>284400</t>
  </si>
  <si>
    <t>Amortissements du matériel et mobilier</t>
  </si>
  <si>
    <t>Amortissements du mobilier de bureau</t>
  </si>
  <si>
    <t>mortissements du mobilier de bureau</t>
  </si>
  <si>
    <t>Amortissements du matériel informatique</t>
  </si>
  <si>
    <t>mortissements du matériel informatique</t>
  </si>
  <si>
    <t>284500</t>
  </si>
  <si>
    <t>Amortissements du matériel de transport</t>
  </si>
  <si>
    <t>401100</t>
  </si>
  <si>
    <t>Fournisseurs</t>
  </si>
  <si>
    <t>408100</t>
  </si>
  <si>
    <t>Fournisseurs - Factures Non Parvenues</t>
  </si>
  <si>
    <t>409100</t>
  </si>
  <si>
    <t>Fournisseurs avances et acomptes versés</t>
  </si>
  <si>
    <t>Rabais, Remises, Ristournes et autres avoirs à obtenir</t>
  </si>
  <si>
    <t>411100</t>
  </si>
  <si>
    <t>Clients</t>
  </si>
  <si>
    <t>Clients, factures à établir</t>
  </si>
  <si>
    <t>419100</t>
  </si>
  <si>
    <t>Clients, avances et acomptes reçus</t>
  </si>
  <si>
    <t>Personnel, avances</t>
  </si>
  <si>
    <t>422000</t>
  </si>
  <si>
    <t>PERSONNEL, RÉMUNÉRATIONS DUES</t>
  </si>
  <si>
    <t>Dettes provisionnées pour congés à payer</t>
  </si>
  <si>
    <t>Prestations familiales</t>
  </si>
  <si>
    <t>Accidents de travail</t>
  </si>
  <si>
    <t>Caisse de retraite obligatoire</t>
  </si>
  <si>
    <t>431800</t>
  </si>
  <si>
    <t>Autres cotisations sociales</t>
  </si>
  <si>
    <t>Cotisation CMU</t>
  </si>
  <si>
    <t>Assurances et organismes de santé-Cotisation CMU</t>
  </si>
  <si>
    <t>Charges sociales sur congés à payer</t>
  </si>
  <si>
    <t>441000</t>
  </si>
  <si>
    <t>ÉTAT, IMPÔT SUR LES BÉNÉFICES</t>
  </si>
  <si>
    <t>442100</t>
  </si>
  <si>
    <t>Impôts et taxes d'Etat</t>
  </si>
  <si>
    <t>Impôts et taxes d'Etat- ITS charges patronale</t>
  </si>
  <si>
    <t>Impôts et taxes d'Etat- Taxe d'apprentissage</t>
  </si>
  <si>
    <t>Impôts et taxes d'Etat - Taxe de la formation continue</t>
  </si>
  <si>
    <t>Impôts et taxes d'Etat - Taxe de la formation continue Regul</t>
  </si>
  <si>
    <t>Autres impôts et taxes</t>
  </si>
  <si>
    <t>Autres impôts et taxes  - Pénalités</t>
  </si>
  <si>
    <t>443100</t>
  </si>
  <si>
    <t>T.V.A. facturée sur ventes</t>
  </si>
  <si>
    <t>443200</t>
  </si>
  <si>
    <t>T.V.A. facturée sur prestations de services</t>
  </si>
  <si>
    <t>T.V.A sur factures à établir</t>
  </si>
  <si>
    <t>444100</t>
  </si>
  <si>
    <t>État, T.V.A. due</t>
  </si>
  <si>
    <t>444900</t>
  </si>
  <si>
    <t>État, crédit de T.V.A. à reporter</t>
  </si>
  <si>
    <t>445100</t>
  </si>
  <si>
    <t>T.V.A. récupérable sur immobilisations</t>
  </si>
  <si>
    <t>445200</t>
  </si>
  <si>
    <t>T.V.A. récupérable sur achats</t>
  </si>
  <si>
    <t>T.V.A. récupérable sur transport</t>
  </si>
  <si>
    <t>445400</t>
  </si>
  <si>
    <t>T.V.A. récupérable sur services extérieurs et autres charges</t>
  </si>
  <si>
    <t>T.V.A. récupérable sur factures non parvenues</t>
  </si>
  <si>
    <t>ÉTAT, AUTRES TAXES SUR LE CHIFFRE D'AFFAIRES</t>
  </si>
  <si>
    <t>447200</t>
  </si>
  <si>
    <t>Impôts sur salaires</t>
  </si>
  <si>
    <t>447800</t>
  </si>
  <si>
    <t>Autres impôts et contributions</t>
  </si>
  <si>
    <t>Retenue PPSSI</t>
  </si>
  <si>
    <t>447810</t>
  </si>
  <si>
    <t>Autres impôts et contributions - RIRL</t>
  </si>
  <si>
    <t>448600</t>
  </si>
  <si>
    <t>Charges à payer</t>
  </si>
  <si>
    <t>449200</t>
  </si>
  <si>
    <t>État, avances et acomptes versés sur impôts</t>
  </si>
  <si>
    <t>Associés apports en numéraire</t>
  </si>
  <si>
    <t>462110</t>
  </si>
  <si>
    <t>Associé compte courant - DIOP Ibrahima</t>
  </si>
  <si>
    <t>Associé compte courant - KONE Nombel</t>
  </si>
  <si>
    <t>471100</t>
  </si>
  <si>
    <t xml:space="preserve"> Débiteur divers - BAIF</t>
  </si>
  <si>
    <t>Débiteurs divers</t>
  </si>
  <si>
    <t>Débiteurs divers - PLACE AFRICA</t>
  </si>
  <si>
    <t>Débiteurs divers - BABF</t>
  </si>
  <si>
    <t>471104</t>
  </si>
  <si>
    <t>Débiteurs divers - BA Niger</t>
  </si>
  <si>
    <t>Débiteurs divers   - BA Groupe</t>
  </si>
  <si>
    <t>Ibrahima DIOP</t>
  </si>
  <si>
    <t>KONE Nombelgnerigué</t>
  </si>
  <si>
    <t>471200</t>
  </si>
  <si>
    <t>Créditeurs divers</t>
  </si>
  <si>
    <t>476000</t>
  </si>
  <si>
    <t>CHARGES CONSTATÉES D'AVANCE</t>
  </si>
  <si>
    <t>477000</t>
  </si>
  <si>
    <t>PRODUITS CONSTATÉS D'AVANCE</t>
  </si>
  <si>
    <t>Outstanding Receipts</t>
  </si>
  <si>
    <t>Effets à encaisser</t>
  </si>
  <si>
    <t>Effets à l'encaissement</t>
  </si>
  <si>
    <t>520001</t>
  </si>
  <si>
    <t>Compte d'attente de la banque</t>
  </si>
  <si>
    <t>520002</t>
  </si>
  <si>
    <t>Outstanding Payments</t>
  </si>
  <si>
    <t>520005</t>
  </si>
  <si>
    <t>521101</t>
  </si>
  <si>
    <t>BGFI Bank</t>
  </si>
  <si>
    <t>521102</t>
  </si>
  <si>
    <t>Banque de l'Union de Côte d'Ivoire (BDU CI)</t>
  </si>
  <si>
    <t>521103</t>
  </si>
  <si>
    <t>Société Générale Côte d'Ivoire (SGCI)</t>
  </si>
  <si>
    <t>521104</t>
  </si>
  <si>
    <t>BMS - CI</t>
  </si>
  <si>
    <t>Orange Bank</t>
  </si>
  <si>
    <t>FIDRA</t>
  </si>
  <si>
    <t>ECOBANK</t>
  </si>
  <si>
    <t>525000</t>
  </si>
  <si>
    <t>Banque dépôt à terme</t>
  </si>
  <si>
    <t>BDU dépôt à terme - Deposit</t>
  </si>
  <si>
    <t>Banque dépôt à terme - rémunéré</t>
  </si>
  <si>
    <t>561000</t>
  </si>
  <si>
    <t>CRÉDITS DE TRÉSORERIE</t>
  </si>
  <si>
    <t>DE TRÉSORERIE - CMT 15M CRRAE</t>
  </si>
  <si>
    <t>EDIT DE TRÉSORERIE - CMT 15M CRRAE</t>
  </si>
  <si>
    <t>CREDIT DE TRÉSORERIE - CMT 55M ORANGE</t>
  </si>
  <si>
    <t>CREDIT DE TRÉSORERIE - CMT 48M</t>
  </si>
  <si>
    <t>CRÉDITS DE TRÉSORERIE - CMT 445 M</t>
  </si>
  <si>
    <t>566000</t>
  </si>
  <si>
    <t>BANQUES, CREDITS DE TRESORERIE, INTERETS COURUS</t>
  </si>
  <si>
    <t>571100</t>
  </si>
  <si>
    <t>Caisse en monnaie nationale</t>
  </si>
  <si>
    <t>571110</t>
  </si>
  <si>
    <t>Caisse - UBA</t>
  </si>
  <si>
    <t>585000</t>
  </si>
  <si>
    <t>Virements de fonds</t>
  </si>
  <si>
    <t>588001</t>
  </si>
  <si>
    <t>Transfert de liquidités</t>
  </si>
  <si>
    <t>601100</t>
  </si>
  <si>
    <t>Achats dans la Région</t>
  </si>
  <si>
    <t>601200</t>
  </si>
  <si>
    <t>Achats hors Région</t>
  </si>
  <si>
    <t>601500</t>
  </si>
  <si>
    <t>Frais sur achats</t>
  </si>
  <si>
    <t>Fournitures non stockables -Eau</t>
  </si>
  <si>
    <t>605200</t>
  </si>
  <si>
    <t>Fournitures non stockables - Electricité</t>
  </si>
  <si>
    <t>605300</t>
  </si>
  <si>
    <t>Fournitures non stockables – Autres énergies</t>
  </si>
  <si>
    <t>605400</t>
  </si>
  <si>
    <t>Fournitures d'entretien non stockables</t>
  </si>
  <si>
    <t>605500</t>
  </si>
  <si>
    <t>Fournitures de bureau non stockables</t>
  </si>
  <si>
    <t>Fournitures divers</t>
  </si>
  <si>
    <t>ournitures divers</t>
  </si>
  <si>
    <t>605600</t>
  </si>
  <si>
    <t>Achats de petit matériel et outillage</t>
  </si>
  <si>
    <t>605601</t>
  </si>
  <si>
    <t>Achat de petit matériel informatique</t>
  </si>
  <si>
    <t>605700</t>
  </si>
  <si>
    <t>Achats d'études et prestations de services</t>
  </si>
  <si>
    <t>605701</t>
  </si>
  <si>
    <t>Achats d'études et prestations de services - Frais généraux</t>
  </si>
  <si>
    <t>605800</t>
  </si>
  <si>
    <t>Achats de travaux, matériels et équipements</t>
  </si>
  <si>
    <t>616000</t>
  </si>
  <si>
    <t>TRANSPORTS DE PLIS</t>
  </si>
  <si>
    <t>616100</t>
  </si>
  <si>
    <t>Frais de livraison coursier</t>
  </si>
  <si>
    <t>618100</t>
  </si>
  <si>
    <t>Voyages et déplacements</t>
  </si>
  <si>
    <t>618300</t>
  </si>
  <si>
    <t>Transports administratifs</t>
  </si>
  <si>
    <t>Frais de Transport pour Intervention</t>
  </si>
  <si>
    <t>Sous-traitance générale</t>
  </si>
  <si>
    <t>622200</t>
  </si>
  <si>
    <t>Locations de bâtiments</t>
  </si>
  <si>
    <t>622300</t>
  </si>
  <si>
    <t>Locations de matériels et outillages</t>
  </si>
  <si>
    <t>622800</t>
  </si>
  <si>
    <t>Locations et charges locatives diverses</t>
  </si>
  <si>
    <t>Crédit-bail mobilier</t>
  </si>
  <si>
    <t>624100</t>
  </si>
  <si>
    <t>Entretien et réparations des biens immobiliers</t>
  </si>
  <si>
    <t>624200</t>
  </si>
  <si>
    <t>Entretien et réparations des biens mobiliers</t>
  </si>
  <si>
    <t>624800</t>
  </si>
  <si>
    <t>Autres entretiens et réparations</t>
  </si>
  <si>
    <t>625100</t>
  </si>
  <si>
    <t>Assurances multirisques</t>
  </si>
  <si>
    <t>625200</t>
  </si>
  <si>
    <t>Assurances matériel de transport</t>
  </si>
  <si>
    <t>Assurances responsabilité du producteur</t>
  </si>
  <si>
    <t>625800</t>
  </si>
  <si>
    <t>Autres primes d'assurances</t>
  </si>
  <si>
    <t>Documentation générale</t>
  </si>
  <si>
    <t>Annonces, insertions</t>
  </si>
  <si>
    <t>627200</t>
  </si>
  <si>
    <t>Catalogues, imprimés publicitaires</t>
  </si>
  <si>
    <t>627600</t>
  </si>
  <si>
    <t>Cadeaux à la clientèle</t>
  </si>
  <si>
    <t>627700</t>
  </si>
  <si>
    <t>Frais de colloques, séminaires, conférences</t>
  </si>
  <si>
    <t>627800</t>
  </si>
  <si>
    <t>Autres charges de publicité et relations publiques</t>
  </si>
  <si>
    <t>Frais de téléphone</t>
  </si>
  <si>
    <t>rais de la connexion internet</t>
  </si>
  <si>
    <t>628800</t>
  </si>
  <si>
    <t>Autres frais de télécommunications</t>
  </si>
  <si>
    <t>Commissions sur cartes de crédit</t>
  </si>
  <si>
    <t>Frais d'émission d'emprunts</t>
  </si>
  <si>
    <t>631700</t>
  </si>
  <si>
    <t>Frais sur instruments monnaie électronique</t>
  </si>
  <si>
    <t>631800</t>
  </si>
  <si>
    <t>Autres frais bancaires</t>
  </si>
  <si>
    <t>Frais de mise en place crédit</t>
  </si>
  <si>
    <t>632400</t>
  </si>
  <si>
    <t>Honoraires des professions réglementées</t>
  </si>
  <si>
    <t>Honoraires des professions réglementées conventionne</t>
  </si>
  <si>
    <t>Honoraires des professions réglementées CAC</t>
  </si>
  <si>
    <t>Autres honoraires</t>
  </si>
  <si>
    <t>Frais d'actes et de contentieux</t>
  </si>
  <si>
    <t>632700</t>
  </si>
  <si>
    <t>Rémunérations des autres prestataires de services</t>
  </si>
  <si>
    <t>632800</t>
  </si>
  <si>
    <t>Divers frais</t>
  </si>
  <si>
    <t>633000</t>
  </si>
  <si>
    <t>Frais de formation du personnel</t>
  </si>
  <si>
    <t>634300</t>
  </si>
  <si>
    <t>Redevances pour logiciels</t>
  </si>
  <si>
    <t>Frais de recrutement du personnel</t>
  </si>
  <si>
    <t>Frais de déménagement</t>
  </si>
  <si>
    <t>638300</t>
  </si>
  <si>
    <t>Réceptions</t>
  </si>
  <si>
    <t>638400</t>
  </si>
  <si>
    <t>Frais de missions</t>
  </si>
  <si>
    <t>641200</t>
  </si>
  <si>
    <t>Patentes, licences et taxes annexes</t>
  </si>
  <si>
    <t>Taxes sur appointements et salaires</t>
  </si>
  <si>
    <t>ITS/CAP</t>
  </si>
  <si>
    <t>641400</t>
  </si>
  <si>
    <t>Taxes d'apprentissage</t>
  </si>
  <si>
    <t>Formation professionnelle continue</t>
  </si>
  <si>
    <t>641800</t>
  </si>
  <si>
    <t>Autres impôts et taxes directs</t>
  </si>
  <si>
    <t>646200</t>
  </si>
  <si>
    <t>Droits de timbre</t>
  </si>
  <si>
    <t>646800</t>
  </si>
  <si>
    <t>Autres droits</t>
  </si>
  <si>
    <t>Pénalités d'assiette, impôts directs</t>
  </si>
  <si>
    <t>Pénalités d'assiette, impôts indirects</t>
  </si>
  <si>
    <t>Pénalités de recouvrement, impôts directs</t>
  </si>
  <si>
    <t>647800</t>
  </si>
  <si>
    <t>Autres amendes pénales et fiscales</t>
  </si>
  <si>
    <t>648000</t>
  </si>
  <si>
    <t>651500</t>
  </si>
  <si>
    <t>Autres débiteurs</t>
  </si>
  <si>
    <t>656000</t>
  </si>
  <si>
    <t>Perte de Change sur Créances et Dettes Commerciales</t>
  </si>
  <si>
    <t>Pénalités et amendes pénales</t>
  </si>
  <si>
    <t>658200</t>
  </si>
  <si>
    <t>Dons</t>
  </si>
  <si>
    <t>658800</t>
  </si>
  <si>
    <t>Autres charges diverses</t>
  </si>
  <si>
    <t>Autres charges provisionnées</t>
  </si>
  <si>
    <t>661100</t>
  </si>
  <si>
    <t>Appointements salaires et commissions</t>
  </si>
  <si>
    <t>Primes et gratifications</t>
  </si>
  <si>
    <t>Prime d'ancienneté</t>
  </si>
  <si>
    <t>Gratifications</t>
  </si>
  <si>
    <t>661210</t>
  </si>
  <si>
    <t>Prime de stage</t>
  </si>
  <si>
    <t>Congés payés</t>
  </si>
  <si>
    <t>Provision Congés payés</t>
  </si>
  <si>
    <t>Indemnités de préavis, de licenciement et de recherche d'embauche</t>
  </si>
  <si>
    <t>Avantages en nature</t>
  </si>
  <si>
    <t>661800</t>
  </si>
  <si>
    <t>Autres rémunérations directes</t>
  </si>
  <si>
    <t>663400</t>
  </si>
  <si>
    <t>Indemnités de transport</t>
  </si>
  <si>
    <t>663800</t>
  </si>
  <si>
    <t>Autres indemnités et avantages divers</t>
  </si>
  <si>
    <t>Autres indemnités et avantages - Autre Prime</t>
  </si>
  <si>
    <t>Prime de panier</t>
  </si>
  <si>
    <t>Autres indemnités et avantages divers - Autre prime</t>
  </si>
  <si>
    <t>664100</t>
  </si>
  <si>
    <t>Charges sociales sur rémunération du personnel national</t>
  </si>
  <si>
    <t>Personnel détaché ou prêté à l’entreprise</t>
  </si>
  <si>
    <t>Médecine du travail et pharmacie</t>
  </si>
  <si>
    <t>Assurances et organismes de santé</t>
  </si>
  <si>
    <t>Assurances et organismes de santé - CMU</t>
  </si>
  <si>
    <t>668700</t>
  </si>
  <si>
    <t>Majorations et pénalités sociales</t>
  </si>
  <si>
    <t>Intérêts dans loyers de location acquisition/crédit-bail mobilier</t>
  </si>
  <si>
    <t>Intérêts bancaires et sur opérations de trésorerie et d’escompte</t>
  </si>
  <si>
    <t>Dotations aux amortissements des immobilisations incorporelles</t>
  </si>
  <si>
    <t>681300</t>
  </si>
  <si>
    <t>Dotations aux amortissements des immobilisations corporelles</t>
  </si>
  <si>
    <t>pour risques et charges</t>
  </si>
  <si>
    <t>701100</t>
  </si>
  <si>
    <t>Ventes dans la Région</t>
  </si>
  <si>
    <t>706100</t>
  </si>
  <si>
    <t>Services dans la Région</t>
  </si>
  <si>
    <t>IMMOBILISATIONS INCORPORELLES</t>
  </si>
  <si>
    <t>Profits sur créances clients et autres débiteurs</t>
  </si>
  <si>
    <t>756000</t>
  </si>
  <si>
    <t>Gains de change sur créances et dettes commerciales</t>
  </si>
  <si>
    <t>Produits divers</t>
  </si>
  <si>
    <t>758800</t>
  </si>
  <si>
    <t>Autres Produits divers</t>
  </si>
  <si>
    <t>Intérêts sur créances diverses</t>
  </si>
  <si>
    <t>REVENUS DE TITRES DE PLACEMENT</t>
  </si>
  <si>
    <t>776000</t>
  </si>
  <si>
    <t>GAINS DE CHANGE</t>
  </si>
  <si>
    <t>781000</t>
  </si>
  <si>
    <t>TRANSFERTS DE CHARGES D'EXPLOITATION</t>
  </si>
  <si>
    <t>IMMOBILISATIONS CORPORELLES</t>
  </si>
  <si>
    <t>831000</t>
  </si>
  <si>
    <t>CHARGES H.A.O. CONSTATÉES</t>
  </si>
  <si>
    <t>841000</t>
  </si>
  <si>
    <t>PRODUITS H.A.O CONSTATÉS</t>
  </si>
  <si>
    <t>846000</t>
  </si>
  <si>
    <t>ABANDONS DE CRÉANCES OBTENUS</t>
  </si>
  <si>
    <t>891100</t>
  </si>
  <si>
    <t>Activités exercées dans l'État</t>
  </si>
  <si>
    <t>1C</t>
  </si>
  <si>
    <t>2C</t>
  </si>
  <si>
    <t>3C</t>
  </si>
  <si>
    <t>4C</t>
  </si>
  <si>
    <t>Numéro de compte</t>
  </si>
  <si>
    <t>Mapping</t>
  </si>
  <si>
    <t>FY22</t>
  </si>
  <si>
    <t>FY23</t>
  </si>
  <si>
    <t>FY24</t>
  </si>
  <si>
    <t>FY25</t>
  </si>
  <si>
    <t>Capital</t>
  </si>
  <si>
    <t>Reserve légale</t>
  </si>
  <si>
    <t>Reserve diverses</t>
  </si>
  <si>
    <t>Report a nouveau</t>
  </si>
  <si>
    <t>RIA</t>
  </si>
  <si>
    <t>Emprunt</t>
  </si>
  <si>
    <t>Dette sur crédit bail</t>
  </si>
  <si>
    <t>Provisions pour risques et charges</t>
  </si>
  <si>
    <t>Immobilisations en cours</t>
  </si>
  <si>
    <t>Aménagements de bureau</t>
  </si>
  <si>
    <t>Matériel et mobilier de bureau</t>
  </si>
  <si>
    <t>Matériel de transport</t>
  </si>
  <si>
    <t>Dépots et cautionnements</t>
  </si>
  <si>
    <t>Ouvrages d'infrastructure</t>
  </si>
  <si>
    <t>Fournisseurs, débiteurs</t>
  </si>
  <si>
    <t>Clients, créditeurs</t>
  </si>
  <si>
    <t>Personnel</t>
  </si>
  <si>
    <t>Charges sociales</t>
  </si>
  <si>
    <t>Etat, TVA et taxes</t>
  </si>
  <si>
    <t>Débiteurs et créditeurs divers</t>
  </si>
  <si>
    <t>Banque</t>
  </si>
  <si>
    <t>Crédit de trésorerie</t>
  </si>
  <si>
    <t>Caisse</t>
  </si>
  <si>
    <t>Virement de fonds</t>
  </si>
  <si>
    <t>Achat de marchandises</t>
  </si>
  <si>
    <t>FNS - Autres énergies</t>
  </si>
  <si>
    <t>FNS - Electricité</t>
  </si>
  <si>
    <t>Achat de produits d'entretien</t>
  </si>
  <si>
    <t>Achat de fournitures</t>
  </si>
  <si>
    <t>Achat de petit matériel et outillage</t>
  </si>
  <si>
    <t>Etudes et prestation de services</t>
  </si>
  <si>
    <t>Travaux, matériel et équipement</t>
  </si>
  <si>
    <t>Transport</t>
  </si>
  <si>
    <t>Sous traitance</t>
  </si>
  <si>
    <t>Charges locatives matières diverses</t>
  </si>
  <si>
    <t xml:space="preserve">Ent. &amp; réparatIon </t>
  </si>
  <si>
    <t xml:space="preserve">Assurances </t>
  </si>
  <si>
    <t>Etudes, recherches et documentation</t>
  </si>
  <si>
    <t>Publicité et relations publiques</t>
  </si>
  <si>
    <t>Frais de télécommunication</t>
  </si>
  <si>
    <t>Frais bancaires</t>
  </si>
  <si>
    <t>Rémunérations d'intermédiaires</t>
  </si>
  <si>
    <t>Autres services extérieurs</t>
  </si>
  <si>
    <t>Impôts et taxes</t>
  </si>
  <si>
    <t xml:space="preserve">Autres charges </t>
  </si>
  <si>
    <t>Charges de personnel</t>
  </si>
  <si>
    <t>Intérêts sur emprunts</t>
  </si>
  <si>
    <t>Intérêts sur dettes de credit bail</t>
  </si>
  <si>
    <t>Autres intérêts</t>
  </si>
  <si>
    <t>Dotations aux at</t>
  </si>
  <si>
    <t>Dotations aux provisions pour risques et charges</t>
  </si>
  <si>
    <t>Ventes de marchandises</t>
  </si>
  <si>
    <t>Services vendus</t>
  </si>
  <si>
    <t>Production immobilisée</t>
  </si>
  <si>
    <t>Autres produits</t>
  </si>
  <si>
    <t xml:space="preserve">Produits d'intérêts </t>
  </si>
  <si>
    <t>Resultat exceptionnel</t>
  </si>
  <si>
    <t>mFCFA</t>
  </si>
  <si>
    <t>Commentaires</t>
  </si>
  <si>
    <t>Chiffre d'affaires</t>
  </si>
  <si>
    <t>Achats de marchandises</t>
  </si>
  <si>
    <t>Services extérieurs</t>
  </si>
  <si>
    <t>Electricité</t>
  </si>
  <si>
    <t>Autres énergies</t>
  </si>
  <si>
    <t>Autres achats et charges externes</t>
  </si>
  <si>
    <t>Autres charges</t>
  </si>
  <si>
    <t>Autres produits et charges</t>
  </si>
  <si>
    <t>Charges d'exploitation</t>
  </si>
  <si>
    <t>EBITDA</t>
  </si>
  <si>
    <t>EBITDA (% CA)</t>
  </si>
  <si>
    <t>Reprises de provisions</t>
  </si>
  <si>
    <t>Dotations aux amortissements</t>
  </si>
  <si>
    <t>D&amp;A</t>
  </si>
  <si>
    <t>EBIT</t>
  </si>
  <si>
    <t>EBIT (% CA)</t>
  </si>
  <si>
    <t>Produits financiers</t>
  </si>
  <si>
    <t>Charges financières</t>
  </si>
  <si>
    <t>Résultat financier</t>
  </si>
  <si>
    <t>Résultat exceptionnel</t>
  </si>
  <si>
    <t>IS</t>
  </si>
  <si>
    <t>Résultat net</t>
  </si>
  <si>
    <t xml:space="preserve">Source : Données Management, Analyse Forvis Mazars </t>
  </si>
  <si>
    <t>En mFCFA</t>
  </si>
  <si>
    <t>Matériel et outillage</t>
  </si>
  <si>
    <t>Mat. &amp; mob. des logements du pers.</t>
  </si>
  <si>
    <t xml:space="preserve">Avances et acomptes </t>
  </si>
  <si>
    <t>Immobilisations corporelles</t>
  </si>
  <si>
    <t>Immobilisations financières</t>
  </si>
  <si>
    <t>Actifs immobilisés</t>
  </si>
  <si>
    <t>Créances clients</t>
  </si>
  <si>
    <t>Acomptes clients</t>
  </si>
  <si>
    <t>Dettes fournisseurs</t>
  </si>
  <si>
    <t>Acomptes aux fournisseurs</t>
  </si>
  <si>
    <t>Dettes et créances sociales</t>
  </si>
  <si>
    <t>Dettes et créances fiscales</t>
  </si>
  <si>
    <t>Groupe, compte courant</t>
  </si>
  <si>
    <t>Dépréciations</t>
  </si>
  <si>
    <t>Autres créances et dettes</t>
  </si>
  <si>
    <t>BFR</t>
  </si>
  <si>
    <t>Trésorerie et équivalents de trésorerie</t>
  </si>
  <si>
    <t>Emprunt bancaire</t>
  </si>
  <si>
    <t>Dettes financières</t>
  </si>
  <si>
    <t>Trésorerie / (dette) nette</t>
  </si>
  <si>
    <t>provisions pour risques à court terme</t>
  </si>
  <si>
    <t>Provisions</t>
  </si>
  <si>
    <t>Actif net</t>
  </si>
  <si>
    <t>Capitaux propres</t>
  </si>
  <si>
    <t>Source : Balances générales</t>
  </si>
  <si>
    <t>Check équilibre</t>
  </si>
  <si>
    <t>C1</t>
  </si>
  <si>
    <t>C2</t>
  </si>
  <si>
    <t>C3</t>
  </si>
  <si>
    <t>C4</t>
  </si>
  <si>
    <t>FY 25</t>
  </si>
  <si>
    <t>Capital souscrit, appelé, versé, non amorti - DIOP Ibrahima</t>
  </si>
  <si>
    <t>101320</t>
  </si>
  <si>
    <t>Capital souscrit, appelé, versé, non amorti - BADO Hermann</t>
  </si>
  <si>
    <t>101330</t>
  </si>
  <si>
    <t>Capital souscrit, appelé, versé, non amorti - KONE Nombelegnerigue</t>
  </si>
  <si>
    <t>121000</t>
  </si>
  <si>
    <t>EMPRUNTS ET DETTES AUPRÈS DES ÉTABLISSEMENTS DE CRÉDIT</t>
  </si>
  <si>
    <t>245100</t>
  </si>
  <si>
    <t>Matériel automobile</t>
  </si>
  <si>
    <t>275800</t>
  </si>
  <si>
    <t>Autres dépôts et cautionnements</t>
  </si>
  <si>
    <t>Amortissements des aménagements, agencements et installations techniques</t>
  </si>
  <si>
    <t>284410</t>
  </si>
  <si>
    <t>284420</t>
  </si>
  <si>
    <t>341100</t>
  </si>
  <si>
    <t>Produits en cours P1</t>
  </si>
  <si>
    <t>Charges_sociales</t>
  </si>
  <si>
    <t>441200</t>
  </si>
  <si>
    <t>Contribution spéciale sur les bénéfices des entreprises</t>
  </si>
  <si>
    <t>442200</t>
  </si>
  <si>
    <t>Impôts et taxes pour les collectivités publiques</t>
  </si>
  <si>
    <t>444200</t>
  </si>
  <si>
    <t>Etat, TVA pour compte de tiers</t>
  </si>
  <si>
    <t>445600</t>
  </si>
  <si>
    <t>T.V.A. transférée par d'autres entreprises</t>
  </si>
  <si>
    <t>447100</t>
  </si>
  <si>
    <t>Impôt Général sur le revenu</t>
  </si>
  <si>
    <t>Retenue de l'impôt sur les revenus fonciers (IRF)</t>
  </si>
  <si>
    <t>447820</t>
  </si>
  <si>
    <t>Retenue à la source de 2% opérée</t>
  </si>
  <si>
    <t>447830</t>
  </si>
  <si>
    <t>Retenue à la source de 5% opérée</t>
  </si>
  <si>
    <t>447840</t>
  </si>
  <si>
    <t>Retenue à la source de 10% opérée</t>
  </si>
  <si>
    <t>447850</t>
  </si>
  <si>
    <t>Retenue à la source de 20% opérée</t>
  </si>
  <si>
    <t>447860</t>
  </si>
  <si>
    <t>Retenue à la source de 25% opérée</t>
  </si>
  <si>
    <t>449220</t>
  </si>
  <si>
    <t>Etat, Retenue à la source de 5% subies</t>
  </si>
  <si>
    <t>449230</t>
  </si>
  <si>
    <t>Etat, Avances et acomptes versés sur impôt - BIC 2%</t>
  </si>
  <si>
    <t>461210</t>
  </si>
  <si>
    <t>Apporteurs, apports en numéraire - DIOP Ibrahima</t>
  </si>
  <si>
    <t>461220</t>
  </si>
  <si>
    <t>Apporteurs, apports en numéraire - BADO Hermann</t>
  </si>
  <si>
    <t>461230</t>
  </si>
  <si>
    <t>Apporteurs, apports en numéraire - KONE Nombelegnerigue</t>
  </si>
  <si>
    <t>462130</t>
  </si>
  <si>
    <t>Associé compte courant - BADO Hermann</t>
  </si>
  <si>
    <t>Débiteurs divers BANE</t>
  </si>
  <si>
    <t>510005</t>
  </si>
  <si>
    <t>Paiements sortants en suspens</t>
  </si>
  <si>
    <t>520008</t>
  </si>
  <si>
    <t>ECOBANK BF</t>
  </si>
  <si>
    <t>VISTA BANK BF</t>
  </si>
  <si>
    <t>BANQUE DE L'UNION BURKINA FASO-BF179</t>
  </si>
  <si>
    <t>BANK OF AFRICA (BOA) - BF</t>
  </si>
  <si>
    <t>521105</t>
  </si>
  <si>
    <t>SOCIETE GENERAL BURKINA FASO</t>
  </si>
  <si>
    <t>521106</t>
  </si>
  <si>
    <t>BANQUE POSTALE DU BURKINA FASO</t>
  </si>
  <si>
    <t>BANQUES DEPOT A TERME</t>
  </si>
  <si>
    <t>Caisse  - carte UBA</t>
  </si>
  <si>
    <t>571111</t>
  </si>
  <si>
    <t>Caisse - Carte UBA 2</t>
  </si>
  <si>
    <t>VIREMENTS DE FONDS</t>
  </si>
  <si>
    <t>hors Région</t>
  </si>
  <si>
    <t>605501</t>
  </si>
  <si>
    <t>Fournitures de bureau informatique</t>
  </si>
  <si>
    <t>605550</t>
  </si>
  <si>
    <t>Achats de petit matériel et outillage informatique</t>
  </si>
  <si>
    <t>Rabais, Remises et Ristournes obtenus (non ventilés)</t>
  </si>
  <si>
    <t>613000</t>
  </si>
  <si>
    <t>TRANSPORTS POUR LE COMPTE DE TIERS</t>
  </si>
  <si>
    <t>Frais d'expédition et Livraison de marchandises</t>
  </si>
  <si>
    <t>Locations de terrains</t>
  </si>
  <si>
    <t>622801</t>
  </si>
  <si>
    <t>Locations pour clients</t>
  </si>
  <si>
    <t>623800 Autres contrats de location acquisition</t>
  </si>
  <si>
    <t>626600</t>
  </si>
  <si>
    <t>Documentation technique</t>
  </si>
  <si>
    <t>627500</t>
  </si>
  <si>
    <t>Publications</t>
  </si>
  <si>
    <t>628100 Frais de téléphone</t>
  </si>
  <si>
    <t>Rémunérations des autres prestataires de service</t>
  </si>
  <si>
    <t>FRAIS DE FORMATION DU PERSONNEL</t>
  </si>
  <si>
    <t>638301</t>
  </si>
  <si>
    <t>Frais de réception formation clients</t>
  </si>
  <si>
    <t>Missions</t>
  </si>
  <si>
    <t>641100</t>
  </si>
  <si>
    <t>Impôts fonciers et taxes annexes</t>
  </si>
  <si>
    <t>646000</t>
  </si>
  <si>
    <t>Droit d'enregistrement</t>
  </si>
  <si>
    <t>646100 Droits de mutation</t>
  </si>
  <si>
    <t>646300</t>
  </si>
  <si>
    <t>Taxes sur les véhicules de société</t>
  </si>
  <si>
    <t>Autres pénalités et amendes fiscales</t>
  </si>
  <si>
    <t>AUTRES IMPÔTS ET TAXES</t>
  </si>
  <si>
    <t>Pertes imputées par transfert (comptabilité des associés non gérants)</t>
  </si>
  <si>
    <t>PERTE DE CHANGE SUR CREANCES ET DETTES COMMERCIALES</t>
  </si>
  <si>
    <t>Primes de stage</t>
  </si>
  <si>
    <t>663100</t>
  </si>
  <si>
    <t>Indemnités de logement</t>
  </si>
  <si>
    <t>Indemnité de transport</t>
  </si>
  <si>
    <t>663810</t>
  </si>
  <si>
    <t>Autres avantages et dons aux salariés</t>
  </si>
  <si>
    <t>668300</t>
  </si>
  <si>
    <t>Versements et contributions aux autres œuvres sociales</t>
  </si>
  <si>
    <t>668800</t>
  </si>
  <si>
    <t>Charges sociales diverses</t>
  </si>
  <si>
    <t xml:space="preserve"> Emprunts auprès des établissements de crédit</t>
  </si>
  <si>
    <t>676000</t>
  </si>
  <si>
    <t>PERTES DE CHANGE</t>
  </si>
  <si>
    <t>701110</t>
  </si>
  <si>
    <t>Ventes de licences dans la Région</t>
  </si>
  <si>
    <t xml:space="preserve"> hors Région</t>
  </si>
  <si>
    <t>GAINS DE CHANGE SUR CREANCES ET DETTES COMMERCIALES</t>
  </si>
  <si>
    <t>Autres Produits Divers</t>
  </si>
  <si>
    <t>REVENUS DE PLACEMENT</t>
  </si>
  <si>
    <t>GAINS DE CHANGE FINANCIERS</t>
  </si>
  <si>
    <t>791400</t>
  </si>
  <si>
    <t>pour dépréciation des immobilisations corporelles</t>
  </si>
  <si>
    <t>IMPÔT MINIMUM FORFAITAIRE (I.M.F.)</t>
  </si>
  <si>
    <t>Box Africa BF - P&amp;L</t>
  </si>
  <si>
    <t>CAGR 23-25</t>
  </si>
  <si>
    <t>Travaux et Services vendus</t>
  </si>
  <si>
    <t>Projet BOX AFRICA - Actif net BABF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</si>
</sst>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41" formatCode="_-* #,##0_-;\-* #,##0_-;_-* &quot;-&quot;_-;_-@_-"/>
    <numFmt numFmtId="43" formatCode="_-* #,##0.00_-;\-* #,##0.00_-;_-* &quot;-&quot;??_-;_-@_-"/>
    <numFmt numFmtId="165" formatCode="#,##0_);\(#,##0\);&quot;- &quot;"/>
    <numFmt numFmtId="168" formatCode="#,##0.0_);\(#,##0.0\);&quot;- &quot;_._0_)"/>
    <numFmt numFmtId="169" formatCode="\ #,##0_);\(#,##0\);&quot; - &quot;_);@_)"/>
    <numFmt numFmtId="170" formatCode="#,##0_);\(#,##0\);&quot;- &quot;_)"/>
    <numFmt numFmtId="171" formatCode="#,##0.0_);\(#,##0.0\);&quot; - &quot;_);@_)"/>
    <numFmt numFmtId="172" formatCode="#,##0_);\(#,##0\);&quot;-&quot;"/>
    <numFmt numFmtId="174" formatCode="_-* #,##0.00_-;\-* #,##0.00_-;_-* &quot;-&quot;_-;_-@_-"/>
    <numFmt numFmtId="176" formatCode="0%;\(0\)%;&quot;-&quot;"/>
    <numFmt numFmtId="177" formatCode="0.0%"/>
    <numFmt numFmtId="180" formatCode="_-* #,##0.00\ _€_-;\-* #,##0.00\ _€_-;_-* &quot;-&quot;??\ _€_-;_-@_-"/>
    <numFmt numFmtId="185" formatCode="#,##0.0_);\(#,##0.0\);&quot;- &quot;_)"/>
    <numFmt numFmtId="186" formatCode="\+0%;\(0\)%;&quot;-&quot;"/>
    <numFmt numFmtId="189" formatCode="#,##0,,;\(#,##0,,\)"/>
    <numFmt numFmtId="191" formatCode="\ #,##0,,_);\(#,##0,,\);&quot; - &quot;_);@_)"/>
    <numFmt numFmtId="192" formatCode="#,##0,,"/>
    <numFmt numFmtId="197" formatCode="#,##0%;\(#,##0\)%;&quot;-&quot;"/>
    <numFmt numFmtId="198" formatCode="#,##0.00;\(#,##0.00\);&quot;-&quot;"/>
    <numFmt numFmtId="206" formatCode="\+0%;\-0%;&quot;-&quot;"/>
    <numFmt numFmtId="207" formatCode="\+0.0_)&quot;bps&quot;;\-0.0_)&quot;bps&quot;;&quot;- &quot;_)&quot;bps&quot;"/>
    <numFmt numFmtId="208" formatCode="0.0%;\(0.0\)%;&quot;-&quot;"/>
  </numFmts>
  <fonts count="38">
    <font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rgb="FF464B4B"/>
      <name val="Arial"/>
      <family val="2"/>
    </font>
    <font>
      <sz val="9"/>
      <color rgb="FF0072CE"/>
      <name val="Arial"/>
      <family val="2"/>
    </font>
    <font>
      <i/>
      <sz val="9"/>
      <color rgb="FF464B4B"/>
      <name val="Arial"/>
      <family val="2"/>
    </font>
    <font>
      <sz val="8"/>
      <color rgb="FF000000"/>
      <name val="Arial"/>
      <family val="2"/>
    </font>
    <font>
      <b/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9"/>
      <color rgb="FF0072CE"/>
      <name val="Arial"/>
      <family val="2"/>
    </font>
    <font>
      <sz val="9"/>
      <color rgb="FFFFFFFF"/>
      <name val="Arial"/>
      <family val="2"/>
    </font>
    <font>
      <b/>
      <sz val="9"/>
      <color rgb="FF464B4B"/>
      <name val="Arial"/>
      <family val="2"/>
    </font>
    <font>
      <b/>
      <u/>
      <sz val="9"/>
      <color theme="1"/>
      <name val="Arial"/>
      <family val="2"/>
    </font>
    <font>
      <sz val="9"/>
      <name val="Arial"/>
      <family val="2"/>
    </font>
    <font>
      <i/>
      <sz val="9"/>
      <color rgb="FFFF0000"/>
      <name val="Arial"/>
      <family val="2"/>
    </font>
    <font>
      <sz val="7"/>
      <color rgb="FF727578"/>
      <name val="Arial"/>
      <family val="2"/>
    </font>
    <font>
      <i/>
      <sz val="9"/>
      <color rgb="FF6F508D"/>
      <name val="Arial"/>
      <family val="2"/>
    </font>
    <font>
      <i/>
      <sz val="9"/>
      <color rgb="FF3D4775"/>
      <name val="Arial"/>
      <family val="2"/>
    </font>
    <font>
      <b/>
      <sz val="9"/>
      <color rgb="FF0071CE"/>
      <name val="Arial"/>
      <family val="2"/>
    </font>
    <font>
      <sz val="9"/>
      <color theme="3"/>
      <name val="Arial"/>
      <family val="2"/>
    </font>
    <font>
      <sz val="8"/>
      <color rgb="FF464B4B"/>
      <name val="Arial"/>
      <family val="2"/>
    </font>
    <font>
      <sz val="6"/>
      <color rgb="FF787878"/>
      <name val="Arial"/>
      <family val="2"/>
    </font>
    <font>
      <sz val="10"/>
      <name val="Arial"/>
      <family val="2"/>
    </font>
    <font>
      <sz val="9"/>
      <name val="Geneva"/>
      <family val="2"/>
      <charset val="1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8"/>
      <color rgb="FF464B4B"/>
      <name val="Arial"/>
      <family val="2"/>
    </font>
    <font>
      <i/>
      <sz val="9"/>
      <color rgb="FF171C8F"/>
      <name val="Arial"/>
      <family val="2"/>
    </font>
    <font>
      <i/>
      <sz val="9"/>
      <color rgb="FF27B093"/>
      <name val="Arial"/>
      <family val="2"/>
    </font>
    <font>
      <b/>
      <sz val="11"/>
      <color theme="1"/>
      <name val="Aptos Narrow"/>
      <family val="2"/>
      <scheme val="minor"/>
    </font>
    <font>
      <sz val="9"/>
      <color rgb="FF0071CE"/>
      <name val="Arial"/>
      <family val="2"/>
    </font>
    <font>
      <sz val="9"/>
      <color rgb="FF0D0D0D"/>
      <name val="Arial"/>
      <family val="2"/>
    </font>
    <font>
      <b/>
      <sz val="7"/>
      <color theme="9" tint="-0.499984740745262"/>
      <name val="Arial"/>
      <family val="2"/>
    </font>
    <font>
      <sz val="7"/>
      <color theme="9" tint="-0.499984740745262"/>
      <name val="Arial"/>
      <family val="2"/>
    </font>
    <font>
      <sz val="8"/>
      <color theme="9" tint="-0.499984740745262"/>
      <name val="Arial"/>
      <family val="2"/>
    </font>
    <font>
      <b/>
      <sz val="8"/>
      <color theme="9" tint="-0.499984740745262"/>
      <name val="Arial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26517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E6EB"/>
        <bgColor indexed="64"/>
      </patternFill>
    </fill>
    <fill>
      <patternFill patternType="solid">
        <fgColor rgb="FFD9D9D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E3FF"/>
        <bgColor indexed="64"/>
      </patternFill>
    </fill>
    <fill>
      <patternFill patternType="solid">
        <fgColor rgb="FFACC7E2"/>
        <bgColor indexed="64"/>
      </patternFill>
    </fill>
    <fill>
      <patternFill patternType="solid">
        <fgColor rgb="FF3D477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7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265173"/>
      </left>
      <right style="thin">
        <color rgb="FF265173"/>
      </right>
      <top style="thin">
        <color rgb="FF265173"/>
      </top>
      <bottom style="thin">
        <color rgb="FF265173"/>
      </bottom>
      <diagonal/>
    </border>
    <border>
      <left/>
      <right/>
      <top/>
      <bottom style="thin">
        <color rgb="FF0070C0"/>
      </bottom>
      <diagonal/>
    </border>
    <border>
      <left/>
      <right/>
      <top style="medium">
        <color rgb="FF0072CE"/>
      </top>
      <bottom/>
      <diagonal/>
    </border>
    <border>
      <left/>
      <right/>
      <top style="thin">
        <color rgb="FF265173"/>
      </top>
      <bottom/>
      <diagonal/>
    </border>
    <border>
      <left style="thin">
        <color rgb="FF265173"/>
      </left>
      <right style="thin">
        <color rgb="FF265173"/>
      </right>
      <top style="thin">
        <color rgb="FF265173"/>
      </top>
      <bottom/>
      <diagonal/>
    </border>
    <border>
      <left style="thin">
        <color rgb="FFFFFFFF"/>
      </left>
      <right style="thin">
        <color rgb="FFFFFFFF"/>
      </right>
      <top style="medium">
        <color rgb="FF265173"/>
      </top>
      <bottom/>
      <diagonal/>
    </border>
    <border>
      <left/>
      <right/>
      <top style="thin">
        <color rgb="FF265173"/>
      </top>
      <bottom style="medium">
        <color rgb="FF265173"/>
      </bottom>
      <diagonal/>
    </border>
    <border>
      <left/>
      <right/>
      <top style="medium">
        <color rgb="FF0071CE"/>
      </top>
      <bottom/>
      <diagonal/>
    </border>
    <border>
      <left/>
      <right/>
      <top style="medium">
        <color rgb="FF0071CE"/>
      </top>
      <bottom style="thin">
        <color rgb="FF3D477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65173"/>
      </top>
      <bottom style="medium">
        <color rgb="FF3D4775"/>
      </bottom>
      <diagonal/>
    </border>
    <border>
      <left/>
      <right/>
      <top/>
      <bottom style="medium">
        <color rgb="FF265173"/>
      </bottom>
      <diagonal/>
    </border>
    <border>
      <left/>
      <right style="thin">
        <color theme="0" tint="-0.24994659260841701"/>
      </right>
      <top style="thin">
        <color theme="0" tint="-0.49995422223578601"/>
      </top>
      <bottom style="thin">
        <color theme="0" tint="-0.49995422223578601"/>
      </bottom>
      <diagonal/>
    </border>
    <border>
      <left/>
      <right style="thin">
        <color rgb="FF265173"/>
      </right>
      <top style="thin">
        <color rgb="FF265173"/>
      </top>
      <bottom style="thin">
        <color rgb="FF265173"/>
      </bottom>
      <diagonal/>
    </border>
    <border>
      <left style="thin">
        <color rgb="FFFFFFFF"/>
      </left>
      <right style="thin">
        <color rgb="FFFFFFFF"/>
      </right>
      <top style="medium">
        <color rgb="FF0072CE"/>
      </top>
      <bottom/>
      <diagonal/>
    </border>
    <border>
      <left/>
      <right/>
      <top style="medium">
        <color rgb="FF0072CE"/>
      </top>
      <bottom style="thin">
        <color rgb="FF3D4775"/>
      </bottom>
      <diagonal/>
    </border>
    <border>
      <left style="thin">
        <color rgb="FF265173"/>
      </left>
      <right style="thin">
        <color rgb="FF265173"/>
      </right>
      <top style="medium">
        <color rgb="FF0072CE"/>
      </top>
      <bottom style="thin">
        <color rgb="FF265173"/>
      </bottom>
      <diagonal/>
    </border>
    <border>
      <left style="thin">
        <color rgb="FFFFFFFF"/>
      </left>
      <right style="thin">
        <color rgb="FFFFFFFF"/>
      </right>
      <top style="medium">
        <color rgb="FF0072CE"/>
      </top>
      <bottom style="thin">
        <color rgb="FF265173"/>
      </bottom>
      <diagonal/>
    </border>
    <border>
      <left style="thin">
        <color rgb="FF265173"/>
      </left>
      <right style="thin">
        <color rgb="FF265173"/>
      </right>
      <top/>
      <bottom style="thin">
        <color rgb="FF265173"/>
      </bottom>
      <diagonal/>
    </border>
    <border>
      <left/>
      <right/>
      <top style="medium">
        <color rgb="FF0072CE"/>
      </top>
      <bottom style="thin">
        <color rgb="FF265173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FFFFFF"/>
      </right>
      <top/>
      <bottom/>
      <diagonal/>
    </border>
    <border>
      <left style="thin">
        <color rgb="FF265173"/>
      </left>
      <right style="thin">
        <color rgb="FF265173"/>
      </right>
      <top/>
      <bottom/>
      <diagonal/>
    </border>
    <border>
      <left style="thin">
        <color rgb="FF265173"/>
      </left>
      <right/>
      <top style="medium">
        <color rgb="FF0072CE"/>
      </top>
      <bottom/>
      <diagonal/>
    </border>
    <border>
      <left/>
      <right style="thin">
        <color rgb="FFFFFFFF"/>
      </right>
      <top style="medium">
        <color rgb="FF0072CE"/>
      </top>
      <bottom/>
      <diagonal/>
    </border>
  </borders>
  <cellStyleXfs count="31">
    <xf numFmtId="0" fontId="0" fillId="0" borderId="0"/>
    <xf numFmtId="41" fontId="1" fillId="0" borderId="0" applyFont="0" applyFill="0" applyBorder="0" applyAlignment="0" applyProtection="0"/>
    <xf numFmtId="0" fontId="2" fillId="0" borderId="0"/>
    <xf numFmtId="0" fontId="8" fillId="0" borderId="0"/>
    <xf numFmtId="0" fontId="13" fillId="0" borderId="0"/>
    <xf numFmtId="0" fontId="2" fillId="0" borderId="0"/>
    <xf numFmtId="0" fontId="1" fillId="0" borderId="0"/>
    <xf numFmtId="0" fontId="2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22" fillId="0" borderId="0"/>
    <xf numFmtId="0" fontId="23" fillId="0" borderId="0"/>
    <xf numFmtId="9" fontId="23" fillId="0" borderId="0" applyFon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9" fontId="24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22" fillId="0" borderId="0"/>
    <xf numFmtId="0" fontId="13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25" fillId="0" borderId="0" applyNumberFormat="0" applyFill="0" applyBorder="0" applyAlignment="0" applyProtection="0"/>
    <xf numFmtId="0" fontId="36" fillId="14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37" fillId="0" borderId="0"/>
    <xf numFmtId="9" fontId="37" fillId="0" borderId="0" applyFon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3" borderId="1" xfId="2" applyFont="1" applyFill="1" applyBorder="1" applyAlignment="1">
      <alignment horizontal="left" vertical="center"/>
    </xf>
    <xf numFmtId="165" fontId="7" fillId="2" borderId="2" xfId="2" applyNumberFormat="1" applyFont="1" applyFill="1" applyBorder="1" applyAlignment="1">
      <alignment horizontal="right" vertical="center"/>
    </xf>
    <xf numFmtId="0" fontId="7" fillId="2" borderId="2" xfId="2" applyFont="1" applyFill="1" applyBorder="1" applyAlignment="1">
      <alignment horizontal="left" vertical="center"/>
    </xf>
    <xf numFmtId="0" fontId="2" fillId="6" borderId="0" xfId="2" applyFill="1"/>
    <xf numFmtId="165" fontId="3" fillId="0" borderId="1" xfId="2" applyNumberFormat="1" applyFont="1" applyBorder="1" applyAlignment="1">
      <alignment horizontal="right" vertical="center"/>
    </xf>
    <xf numFmtId="0" fontId="3" fillId="0" borderId="1" xfId="2" applyFont="1" applyBorder="1" applyAlignment="1">
      <alignment horizontal="left" vertical="center"/>
    </xf>
    <xf numFmtId="0" fontId="4" fillId="0" borderId="3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10" fillId="2" borderId="6" xfId="2" applyFont="1" applyFill="1" applyBorder="1" applyAlignment="1">
      <alignment horizontal="left" vertical="center"/>
    </xf>
    <xf numFmtId="0" fontId="7" fillId="2" borderId="6" xfId="2" applyFont="1" applyFill="1" applyBorder="1" applyAlignment="1">
      <alignment horizontal="left" vertical="center"/>
    </xf>
    <xf numFmtId="0" fontId="3" fillId="0" borderId="7" xfId="2" applyFont="1" applyBorder="1" applyAlignment="1">
      <alignment horizontal="left" vertical="center"/>
    </xf>
    <xf numFmtId="0" fontId="11" fillId="3" borderId="8" xfId="2" applyFont="1" applyFill="1" applyBorder="1" applyAlignment="1">
      <alignment horizontal="left" vertical="center"/>
    </xf>
    <xf numFmtId="0" fontId="12" fillId="6" borderId="0" xfId="2" applyFont="1" applyFill="1"/>
    <xf numFmtId="0" fontId="3" fillId="0" borderId="0" xfId="2" applyFont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1" fontId="0" fillId="0" borderId="0" xfId="1" applyFont="1"/>
    <xf numFmtId="165" fontId="0" fillId="0" borderId="0" xfId="0" applyNumberFormat="1"/>
    <xf numFmtId="165" fontId="9" fillId="0" borderId="0" xfId="2" applyNumberFormat="1" applyFont="1" applyAlignment="1">
      <alignment horizontal="right" vertical="center"/>
    </xf>
    <xf numFmtId="172" fontId="20" fillId="0" borderId="0" xfId="7" applyNumberFormat="1" applyFont="1" applyAlignment="1">
      <alignment horizontal="left" vertical="center"/>
    </xf>
    <xf numFmtId="172" fontId="20" fillId="0" borderId="0" xfId="7" quotePrefix="1" applyNumberFormat="1" applyFont="1" applyAlignment="1">
      <alignment horizontal="center" vertical="center"/>
    </xf>
    <xf numFmtId="10" fontId="20" fillId="0" borderId="0" xfId="8" applyNumberFormat="1" applyFont="1" applyFill="1" applyAlignment="1">
      <alignment horizontal="center" vertical="center"/>
    </xf>
    <xf numFmtId="0" fontId="7" fillId="2" borderId="6" xfId="2" applyFont="1" applyFill="1" applyBorder="1" applyAlignment="1">
      <alignment horizontal="right" vertical="center"/>
    </xf>
    <xf numFmtId="0" fontId="19" fillId="0" borderId="0" xfId="19" applyFont="1"/>
    <xf numFmtId="14" fontId="19" fillId="0" borderId="0" xfId="19" applyNumberFormat="1" applyFont="1"/>
    <xf numFmtId="0" fontId="7" fillId="2" borderId="6" xfId="3" applyFont="1" applyFill="1" applyBorder="1" applyAlignment="1">
      <alignment horizontal="left" vertical="center"/>
    </xf>
    <xf numFmtId="0" fontId="7" fillId="2" borderId="6" xfId="3" applyFont="1" applyFill="1" applyBorder="1" applyAlignment="1">
      <alignment horizontal="right" vertical="center"/>
    </xf>
    <xf numFmtId="168" fontId="12" fillId="3" borderId="0" xfId="3" applyNumberFormat="1" applyFont="1" applyFill="1"/>
    <xf numFmtId="0" fontId="11" fillId="0" borderId="8" xfId="19" applyFont="1" applyBorder="1" applyAlignment="1">
      <alignment horizontal="left" vertical="center" wrapText="1"/>
    </xf>
    <xf numFmtId="14" fontId="11" fillId="0" borderId="8" xfId="3" applyNumberFormat="1" applyFont="1" applyBorder="1" applyAlignment="1">
      <alignment horizontal="right" vertical="center" wrapText="1"/>
    </xf>
    <xf numFmtId="168" fontId="1" fillId="3" borderId="0" xfId="3" applyNumberFormat="1" applyFont="1" applyFill="1"/>
    <xf numFmtId="170" fontId="27" fillId="0" borderId="1" xfId="19" applyNumberFormat="1" applyFont="1" applyBorder="1" applyAlignment="1">
      <alignment horizontal="left" vertical="center" indent="1"/>
    </xf>
    <xf numFmtId="165" fontId="27" fillId="0" borderId="1" xfId="2" applyNumberFormat="1" applyFont="1" applyBorder="1" applyAlignment="1">
      <alignment horizontal="right" vertical="center"/>
    </xf>
    <xf numFmtId="170" fontId="3" fillId="0" borderId="1" xfId="19" applyNumberFormat="1" applyFont="1" applyBorder="1" applyAlignment="1">
      <alignment horizontal="left" vertical="center"/>
    </xf>
    <xf numFmtId="169" fontId="3" fillId="0" borderId="1" xfId="19" applyNumberFormat="1" applyFont="1" applyBorder="1" applyAlignment="1">
      <alignment horizontal="right" vertical="center"/>
    </xf>
    <xf numFmtId="170" fontId="3" fillId="0" borderId="0" xfId="19" applyNumberFormat="1" applyFont="1" applyAlignment="1">
      <alignment horizontal="left" vertical="center"/>
    </xf>
    <xf numFmtId="169" fontId="17" fillId="0" borderId="0" xfId="19" applyNumberFormat="1" applyFont="1" applyAlignment="1">
      <alignment horizontal="right" vertical="center"/>
    </xf>
    <xf numFmtId="171" fontId="18" fillId="0" borderId="0" xfId="19" applyNumberFormat="1" applyFont="1" applyAlignment="1">
      <alignment horizontal="left" vertical="center"/>
    </xf>
    <xf numFmtId="169" fontId="18" fillId="0" borderId="0" xfId="19" applyNumberFormat="1" applyFont="1" applyAlignment="1">
      <alignment horizontal="right" vertical="center"/>
    </xf>
    <xf numFmtId="170" fontId="27" fillId="0" borderId="0" xfId="19" applyNumberFormat="1" applyFont="1" applyAlignment="1">
      <alignment horizontal="left" vertical="center" indent="1"/>
    </xf>
    <xf numFmtId="169" fontId="3" fillId="0" borderId="0" xfId="19" applyNumberFormat="1" applyFont="1" applyAlignment="1">
      <alignment horizontal="right" vertical="center"/>
    </xf>
    <xf numFmtId="171" fontId="18" fillId="0" borderId="9" xfId="19" applyNumberFormat="1" applyFont="1" applyBorder="1" applyAlignment="1">
      <alignment horizontal="left" vertical="center"/>
    </xf>
    <xf numFmtId="169" fontId="18" fillId="0" borderId="9" xfId="19" applyNumberFormat="1" applyFont="1" applyBorder="1" applyAlignment="1">
      <alignment horizontal="right" vertical="center"/>
    </xf>
    <xf numFmtId="168" fontId="0" fillId="3" borderId="0" xfId="3" applyNumberFormat="1" applyFont="1" applyFill="1"/>
    <xf numFmtId="171" fontId="18" fillId="0" borderId="10" xfId="19" applyNumberFormat="1" applyFont="1" applyBorder="1" applyAlignment="1">
      <alignment horizontal="left" vertical="center"/>
    </xf>
    <xf numFmtId="170" fontId="7" fillId="2" borderId="2" xfId="19" applyNumberFormat="1" applyFont="1" applyFill="1" applyBorder="1" applyAlignment="1">
      <alignment horizontal="left" vertical="center"/>
    </xf>
    <xf numFmtId="0" fontId="16" fillId="0" borderId="0" xfId="3" applyFont="1" applyAlignment="1">
      <alignment horizontal="left" vertical="center"/>
    </xf>
    <xf numFmtId="185" fontId="17" fillId="0" borderId="0" xfId="19" applyNumberFormat="1" applyFont="1" applyAlignment="1">
      <alignment horizontal="left" vertical="center" indent="1"/>
    </xf>
    <xf numFmtId="185" fontId="3" fillId="0" borderId="0" xfId="19" applyNumberFormat="1" applyFont="1" applyAlignment="1">
      <alignment horizontal="left" vertical="center"/>
    </xf>
    <xf numFmtId="170" fontId="7" fillId="10" borderId="0" xfId="19" applyNumberFormat="1" applyFont="1" applyFill="1" applyAlignment="1">
      <alignment horizontal="left" vertical="center"/>
    </xf>
    <xf numFmtId="169" fontId="7" fillId="10" borderId="0" xfId="19" applyNumberFormat="1" applyFont="1" applyFill="1" applyAlignment="1">
      <alignment horizontal="right" vertical="center"/>
    </xf>
    <xf numFmtId="0" fontId="5" fillId="5" borderId="0" xfId="19" applyFont="1" applyFill="1" applyAlignment="1">
      <alignment horizontal="left" vertical="center" indent="1"/>
    </xf>
    <xf numFmtId="168" fontId="5" fillId="5" borderId="0" xfId="19" applyNumberFormat="1" applyFont="1" applyFill="1" applyAlignment="1">
      <alignment horizontal="right" vertical="center"/>
    </xf>
    <xf numFmtId="0" fontId="15" fillId="0" borderId="0" xfId="3" applyFont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14" fillId="4" borderId="0" xfId="3" applyFont="1" applyFill="1" applyAlignment="1">
      <alignment horizontal="left" vertical="center"/>
    </xf>
    <xf numFmtId="165" fontId="14" fillId="4" borderId="0" xfId="3" applyNumberFormat="1" applyFont="1" applyFill="1" applyAlignment="1">
      <alignment vertical="center"/>
    </xf>
    <xf numFmtId="0" fontId="0" fillId="0" borderId="0" xfId="2" applyFont="1"/>
    <xf numFmtId="0" fontId="26" fillId="0" borderId="12" xfId="2" applyFont="1" applyBorder="1" applyAlignment="1">
      <alignment horizontal="left" vertical="center"/>
    </xf>
    <xf numFmtId="41" fontId="26" fillId="0" borderId="12" xfId="2" applyNumberFormat="1" applyFont="1" applyBorder="1" applyAlignment="1">
      <alignment horizontal="right" vertical="center"/>
    </xf>
    <xf numFmtId="186" fontId="11" fillId="9" borderId="0" xfId="3" applyNumberFormat="1" applyFont="1" applyFill="1" applyAlignment="1">
      <alignment horizontal="right" vertical="center"/>
    </xf>
    <xf numFmtId="0" fontId="11" fillId="3" borderId="0" xfId="2" applyFont="1" applyFill="1" applyAlignment="1">
      <alignment horizontal="left" vertical="center"/>
    </xf>
    <xf numFmtId="176" fontId="3" fillId="9" borderId="0" xfId="3" applyNumberFormat="1" applyFont="1" applyFill="1" applyAlignment="1">
      <alignment horizontal="right" vertical="center"/>
    </xf>
    <xf numFmtId="0" fontId="20" fillId="6" borderId="0" xfId="2" applyFont="1" applyFill="1" applyAlignment="1">
      <alignment horizontal="left" vertical="center"/>
    </xf>
    <xf numFmtId="0" fontId="20" fillId="0" borderId="0" xfId="2" applyFont="1" applyAlignment="1">
      <alignment horizontal="left" vertical="center"/>
    </xf>
    <xf numFmtId="0" fontId="20" fillId="3" borderId="1" xfId="2" applyFont="1" applyFill="1" applyBorder="1" applyAlignment="1">
      <alignment horizontal="right" vertical="center"/>
    </xf>
    <xf numFmtId="0" fontId="27" fillId="0" borderId="1" xfId="2" applyFont="1" applyBorder="1" applyAlignment="1">
      <alignment horizontal="left" vertical="center" indent="1"/>
    </xf>
    <xf numFmtId="0" fontId="0" fillId="6" borderId="0" xfId="2" applyFont="1" applyFill="1"/>
    <xf numFmtId="0" fontId="28" fillId="0" borderId="1" xfId="2" applyFont="1" applyBorder="1" applyAlignment="1">
      <alignment horizontal="left" vertical="center" indent="2"/>
    </xf>
    <xf numFmtId="0" fontId="21" fillId="0" borderId="0" xfId="0" applyFont="1" applyAlignment="1">
      <alignment horizontal="left" vertical="center"/>
    </xf>
    <xf numFmtId="186" fontId="6" fillId="0" borderId="0" xfId="2" applyNumberFormat="1" applyFont="1" applyAlignment="1">
      <alignment horizontal="right" vertical="center"/>
    </xf>
    <xf numFmtId="172" fontId="0" fillId="0" borderId="0" xfId="0" applyNumberFormat="1"/>
    <xf numFmtId="0" fontId="29" fillId="0" borderId="0" xfId="0" applyFont="1"/>
    <xf numFmtId="0" fontId="0" fillId="0" borderId="11" xfId="0" applyBorder="1"/>
    <xf numFmtId="0" fontId="11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horizontal="right" vertical="center"/>
    </xf>
    <xf numFmtId="9" fontId="0" fillId="0" borderId="0" xfId="20" applyFont="1"/>
    <xf numFmtId="0" fontId="11" fillId="0" borderId="8" xfId="21" applyFont="1" applyBorder="1" applyAlignment="1">
      <alignment horizontal="left" vertical="center"/>
    </xf>
    <xf numFmtId="0" fontId="3" fillId="0" borderId="0" xfId="21" applyFont="1" applyAlignment="1">
      <alignment horizontal="left" vertical="center"/>
    </xf>
    <xf numFmtId="0" fontId="9" fillId="0" borderId="4" xfId="21" applyFont="1" applyBorder="1" applyAlignment="1">
      <alignment horizontal="left" vertical="center"/>
    </xf>
    <xf numFmtId="9" fontId="7" fillId="2" borderId="6" xfId="20" applyFont="1" applyFill="1" applyBorder="1" applyAlignment="1">
      <alignment horizontal="right" vertical="center"/>
    </xf>
    <xf numFmtId="9" fontId="30" fillId="0" borderId="0" xfId="20" applyFont="1" applyAlignment="1">
      <alignment horizontal="right" vertical="center"/>
    </xf>
    <xf numFmtId="9" fontId="9" fillId="0" borderId="4" xfId="20" applyFont="1" applyBorder="1" applyAlignment="1">
      <alignment horizontal="right" vertical="center"/>
    </xf>
    <xf numFmtId="176" fontId="3" fillId="11" borderId="0" xfId="20" applyNumberFormat="1" applyFont="1" applyFill="1" applyAlignment="1">
      <alignment horizontal="right" vertical="center"/>
    </xf>
    <xf numFmtId="3" fontId="1" fillId="0" borderId="11" xfId="0" applyNumberFormat="1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3" fontId="3" fillId="12" borderId="1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12" borderId="14" xfId="0" applyFont="1" applyFill="1" applyBorder="1" applyAlignment="1">
      <alignment horizontal="left" vertical="center" wrapText="1"/>
    </xf>
    <xf numFmtId="0" fontId="7" fillId="2" borderId="0" xfId="21" applyFont="1" applyFill="1" applyAlignment="1">
      <alignment horizontal="left" vertical="center"/>
    </xf>
    <xf numFmtId="0" fontId="11" fillId="0" borderId="5" xfId="21" applyFont="1" applyBorder="1" applyAlignment="1">
      <alignment horizontal="right" vertical="center"/>
    </xf>
    <xf numFmtId="191" fontId="3" fillId="0" borderId="0" xfId="0" applyNumberFormat="1" applyFont="1" applyAlignment="1">
      <alignment horizontal="right" vertical="center" wrapText="1"/>
    </xf>
    <xf numFmtId="191" fontId="3" fillId="12" borderId="0" xfId="0" applyNumberFormat="1" applyFont="1" applyFill="1" applyAlignment="1">
      <alignment horizontal="right" vertical="center" wrapText="1"/>
    </xf>
    <xf numFmtId="191" fontId="27" fillId="0" borderId="0" xfId="0" applyNumberFormat="1" applyFont="1" applyAlignment="1">
      <alignment horizontal="right" vertical="center" wrapText="1"/>
    </xf>
    <xf numFmtId="0" fontId="27" fillId="0" borderId="0" xfId="0" applyFont="1" applyAlignment="1">
      <alignment horizontal="left" vertical="center" wrapText="1" indent="1"/>
    </xf>
    <xf numFmtId="191" fontId="9" fillId="0" borderId="4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left" vertical="center" wrapText="1"/>
    </xf>
    <xf numFmtId="174" fontId="4" fillId="11" borderId="3" xfId="1" applyNumberFormat="1" applyFont="1" applyFill="1" applyBorder="1" applyAlignment="1">
      <alignment horizontal="right" vertical="center"/>
    </xf>
    <xf numFmtId="191" fontId="0" fillId="11" borderId="0" xfId="1" applyNumberFormat="1" applyFont="1" applyFill="1"/>
    <xf numFmtId="191" fontId="7" fillId="2" borderId="0" xfId="0" applyNumberFormat="1" applyFont="1" applyFill="1" applyAlignment="1">
      <alignment horizontal="right" vertical="center" wrapText="1"/>
    </xf>
    <xf numFmtId="0" fontId="7" fillId="2" borderId="0" xfId="0" applyFont="1" applyFill="1" applyAlignment="1">
      <alignment horizontal="left" vertical="center" wrapText="1"/>
    </xf>
    <xf numFmtId="174" fontId="4" fillId="0" borderId="3" xfId="1" applyNumberFormat="1" applyFont="1" applyFill="1" applyBorder="1" applyAlignment="1">
      <alignment horizontal="right" vertical="center"/>
    </xf>
    <xf numFmtId="176" fontId="27" fillId="11" borderId="0" xfId="20" applyNumberFormat="1" applyFont="1" applyFill="1" applyAlignment="1">
      <alignment vertical="center"/>
    </xf>
    <xf numFmtId="191" fontId="3" fillId="0" borderId="0" xfId="1" applyNumberFormat="1" applyFont="1" applyAlignment="1">
      <alignment horizontal="right" vertical="center"/>
    </xf>
    <xf numFmtId="9" fontId="10" fillId="2" borderId="0" xfId="20" applyFont="1" applyFill="1" applyAlignment="1">
      <alignment horizontal="right" vertical="center"/>
    </xf>
    <xf numFmtId="0" fontId="7" fillId="2" borderId="15" xfId="0" applyFont="1" applyFill="1" applyBorder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left" indent="1"/>
    </xf>
    <xf numFmtId="192" fontId="27" fillId="0" borderId="0" xfId="22" applyNumberFormat="1" applyFont="1" applyAlignment="1">
      <alignment horizontal="right" vertical="center"/>
    </xf>
    <xf numFmtId="192" fontId="7" fillId="2" borderId="2" xfId="22" applyNumberFormat="1" applyFont="1" applyFill="1" applyBorder="1" applyAlignment="1">
      <alignment horizontal="right" vertical="center"/>
    </xf>
    <xf numFmtId="14" fontId="0" fillId="0" borderId="0" xfId="19" applyNumberFormat="1" applyFont="1" applyAlignment="1">
      <alignment horizontal="left"/>
    </xf>
    <xf numFmtId="169" fontId="0" fillId="0" borderId="0" xfId="19" applyNumberFormat="1" applyFont="1"/>
    <xf numFmtId="0" fontId="0" fillId="0" borderId="0" xfId="3" applyFont="1"/>
    <xf numFmtId="0" fontId="0" fillId="0" borderId="0" xfId="3" applyFont="1" applyAlignment="1">
      <alignment horizontal="right"/>
    </xf>
    <xf numFmtId="171" fontId="9" fillId="0" borderId="4" xfId="19" applyNumberFormat="1" applyFont="1" applyBorder="1" applyAlignment="1">
      <alignment horizontal="left" vertical="center"/>
    </xf>
    <xf numFmtId="165" fontId="9" fillId="0" borderId="16" xfId="2" applyNumberFormat="1" applyFont="1" applyBorder="1" applyAlignment="1">
      <alignment horizontal="right" vertical="center"/>
    </xf>
    <xf numFmtId="171" fontId="9" fillId="0" borderId="17" xfId="19" applyNumberFormat="1" applyFont="1" applyBorder="1" applyAlignment="1">
      <alignment horizontal="left" vertical="center"/>
    </xf>
    <xf numFmtId="170" fontId="9" fillId="2" borderId="18" xfId="19" applyNumberFormat="1" applyFont="1" applyFill="1" applyBorder="1" applyAlignment="1">
      <alignment horizontal="left" vertical="center"/>
    </xf>
    <xf numFmtId="170" fontId="7" fillId="2" borderId="20" xfId="19" applyNumberFormat="1" applyFont="1" applyFill="1" applyBorder="1" applyAlignment="1">
      <alignment horizontal="left" vertical="center"/>
    </xf>
    <xf numFmtId="165" fontId="7" fillId="2" borderId="20" xfId="2" applyNumberFormat="1" applyFont="1" applyFill="1" applyBorder="1" applyAlignment="1">
      <alignment horizontal="right" vertical="center"/>
    </xf>
    <xf numFmtId="171" fontId="9" fillId="0" borderId="21" xfId="19" applyNumberFormat="1" applyFont="1" applyBorder="1" applyAlignment="1">
      <alignment horizontal="left" vertical="center"/>
    </xf>
    <xf numFmtId="165" fontId="9" fillId="0" borderId="19" xfId="2" applyNumberFormat="1" applyFont="1" applyBorder="1" applyAlignment="1">
      <alignment horizontal="right" vertical="center"/>
    </xf>
    <xf numFmtId="0" fontId="0" fillId="7" borderId="0" xfId="0" applyFill="1"/>
    <xf numFmtId="3" fontId="32" fillId="0" borderId="22" xfId="0" applyNumberFormat="1" applyFont="1" applyBorder="1" applyAlignment="1">
      <alignment horizontal="left" vertical="center" wrapText="1"/>
    </xf>
    <xf numFmtId="0" fontId="33" fillId="0" borderId="22" xfId="0" applyFont="1" applyBorder="1" applyAlignment="1">
      <alignment horizontal="center" vertical="center" wrapText="1"/>
    </xf>
    <xf numFmtId="3" fontId="32" fillId="0" borderId="22" xfId="0" applyNumberFormat="1" applyFont="1" applyBorder="1" applyAlignment="1">
      <alignment horizontal="right" vertical="center" wrapText="1"/>
    </xf>
    <xf numFmtId="3" fontId="34" fillId="0" borderId="0" xfId="18" applyNumberFormat="1" applyFont="1" applyAlignment="1">
      <alignment horizontal="left" vertical="center"/>
    </xf>
    <xf numFmtId="197" fontId="34" fillId="0" borderId="0" xfId="0" applyNumberFormat="1" applyFont="1" applyAlignment="1">
      <alignment horizontal="right"/>
    </xf>
    <xf numFmtId="198" fontId="34" fillId="0" borderId="0" xfId="0" applyNumberFormat="1" applyFont="1" applyAlignment="1">
      <alignment horizontal="right"/>
    </xf>
    <xf numFmtId="0" fontId="35" fillId="0" borderId="0" xfId="0" applyFont="1"/>
    <xf numFmtId="198" fontId="35" fillId="0" borderId="0" xfId="0" applyNumberFormat="1" applyFont="1" applyAlignment="1">
      <alignment horizontal="right" vertical="center"/>
    </xf>
    <xf numFmtId="10" fontId="35" fillId="0" borderId="0" xfId="20" applyNumberFormat="1" applyFont="1" applyAlignment="1">
      <alignment horizontal="right" vertical="center"/>
    </xf>
    <xf numFmtId="0" fontId="35" fillId="13" borderId="0" xfId="0" applyFont="1" applyFill="1"/>
    <xf numFmtId="198" fontId="35" fillId="13" borderId="0" xfId="0" applyNumberFormat="1" applyFont="1" applyFill="1" applyAlignment="1">
      <alignment horizontal="right"/>
    </xf>
    <xf numFmtId="177" fontId="35" fillId="13" borderId="0" xfId="20" applyNumberFormat="1" applyFont="1" applyFill="1" applyAlignment="1">
      <alignment horizontal="right"/>
    </xf>
    <xf numFmtId="0" fontId="3" fillId="3" borderId="23" xfId="2" applyFont="1" applyFill="1" applyBorder="1" applyAlignment="1">
      <alignment horizontal="left" vertical="center"/>
    </xf>
    <xf numFmtId="0" fontId="7" fillId="2" borderId="24" xfId="2" applyFont="1" applyFill="1" applyBorder="1" applyAlignment="1">
      <alignment horizontal="left" vertical="center"/>
    </xf>
    <xf numFmtId="165" fontId="7" fillId="2" borderId="24" xfId="2" applyNumberFormat="1" applyFont="1" applyFill="1" applyBorder="1" applyAlignment="1">
      <alignment horizontal="right" vertical="center"/>
    </xf>
    <xf numFmtId="0" fontId="9" fillId="0" borderId="21" xfId="2" applyFont="1" applyBorder="1" applyAlignment="1">
      <alignment horizontal="left" vertical="center"/>
    </xf>
    <xf numFmtId="165" fontId="9" fillId="0" borderId="21" xfId="2" applyNumberFormat="1" applyFont="1" applyBorder="1" applyAlignment="1">
      <alignment horizontal="right" vertical="center"/>
    </xf>
    <xf numFmtId="189" fontId="26" fillId="0" borderId="12" xfId="2" applyNumberFormat="1" applyFont="1" applyBorder="1" applyAlignment="1">
      <alignment horizontal="right" vertical="center"/>
    </xf>
    <xf numFmtId="189" fontId="3" fillId="0" borderId="1" xfId="2" applyNumberFormat="1" applyFont="1" applyBorder="1" applyAlignment="1">
      <alignment horizontal="right" vertical="center"/>
    </xf>
    <xf numFmtId="189" fontId="9" fillId="0" borderId="4" xfId="2" applyNumberFormat="1" applyFont="1" applyBorder="1" applyAlignment="1">
      <alignment horizontal="right" vertical="center"/>
    </xf>
    <xf numFmtId="189" fontId="9" fillId="0" borderId="21" xfId="2" applyNumberFormat="1" applyFont="1" applyBorder="1" applyAlignment="1">
      <alignment horizontal="right" vertical="center"/>
    </xf>
    <xf numFmtId="189" fontId="10" fillId="2" borderId="6" xfId="2" applyNumberFormat="1" applyFont="1" applyFill="1" applyBorder="1" applyAlignment="1">
      <alignment horizontal="right" vertical="center"/>
    </xf>
    <xf numFmtId="189" fontId="4" fillId="0" borderId="3" xfId="2" applyNumberFormat="1" applyFont="1" applyBorder="1" applyAlignment="1">
      <alignment horizontal="right" vertical="center"/>
    </xf>
    <xf numFmtId="189" fontId="27" fillId="0" borderId="1" xfId="2" applyNumberFormat="1" applyFont="1" applyBorder="1" applyAlignment="1">
      <alignment horizontal="right" vertical="center"/>
    </xf>
    <xf numFmtId="189" fontId="7" fillId="2" borderId="2" xfId="2" applyNumberFormat="1" applyFont="1" applyFill="1" applyBorder="1" applyAlignment="1">
      <alignment horizontal="right" vertical="center"/>
    </xf>
    <xf numFmtId="189" fontId="0" fillId="0" borderId="0" xfId="2" applyNumberFormat="1" applyFont="1"/>
    <xf numFmtId="189" fontId="7" fillId="2" borderId="24" xfId="2" applyNumberFormat="1" applyFont="1" applyFill="1" applyBorder="1" applyAlignment="1">
      <alignment horizontal="right" vertical="center"/>
    </xf>
    <xf numFmtId="0" fontId="13" fillId="7" borderId="0" xfId="0" applyFont="1" applyFill="1" applyAlignment="1">
      <alignment horizontal="left" indent="1"/>
    </xf>
    <xf numFmtId="0" fontId="13" fillId="7" borderId="0" xfId="0" applyFont="1" applyFill="1"/>
    <xf numFmtId="176" fontId="4" fillId="0" borderId="3" xfId="2" applyNumberFormat="1" applyFont="1" applyBorder="1" applyAlignment="1">
      <alignment horizontal="right" vertical="center"/>
    </xf>
    <xf numFmtId="176" fontId="0" fillId="0" borderId="0" xfId="0" applyNumberFormat="1"/>
    <xf numFmtId="9" fontId="0" fillId="0" borderId="0" xfId="0" applyNumberFormat="1"/>
    <xf numFmtId="41" fontId="7" fillId="2" borderId="2" xfId="1" applyFont="1" applyFill="1" applyBorder="1" applyAlignment="1">
      <alignment horizontal="left" vertical="center"/>
    </xf>
    <xf numFmtId="41" fontId="13" fillId="0" borderId="0" xfId="1" applyFont="1" applyAlignment="1">
      <alignment horizontal="left" indent="1"/>
    </xf>
    <xf numFmtId="41" fontId="13" fillId="0" borderId="0" xfId="1" applyFont="1"/>
    <xf numFmtId="41" fontId="13" fillId="7" borderId="0" xfId="1" applyFont="1" applyFill="1"/>
    <xf numFmtId="41" fontId="13" fillId="7" borderId="0" xfId="1" applyFont="1" applyFill="1" applyAlignment="1">
      <alignment horizontal="left" indent="1"/>
    </xf>
    <xf numFmtId="191" fontId="3" fillId="8" borderId="0" xfId="17" applyNumberFormat="1" applyFont="1" applyFill="1" applyAlignment="1" applyProtection="1">
      <alignment horizontal="right" vertical="center" wrapText="1"/>
      <protection hidden="1"/>
    </xf>
    <xf numFmtId="191" fontId="9" fillId="8" borderId="25" xfId="17" applyNumberFormat="1" applyFont="1" applyFill="1" applyBorder="1" applyAlignment="1" applyProtection="1">
      <alignment horizontal="left" vertical="center" wrapText="1"/>
      <protection hidden="1"/>
    </xf>
    <xf numFmtId="191" fontId="9" fillId="8" borderId="4" xfId="17" applyNumberFormat="1" applyFont="1" applyFill="1" applyBorder="1" applyAlignment="1" applyProtection="1">
      <alignment horizontal="right" vertical="center" wrapText="1"/>
      <protection hidden="1"/>
    </xf>
    <xf numFmtId="41" fontId="3" fillId="0" borderId="1" xfId="1" applyFont="1" applyBorder="1" applyAlignment="1">
      <alignment horizontal="right" vertical="center"/>
    </xf>
    <xf numFmtId="9" fontId="10" fillId="2" borderId="6" xfId="20" applyFont="1" applyFill="1" applyBorder="1" applyAlignment="1">
      <alignment horizontal="right" vertical="center"/>
    </xf>
    <xf numFmtId="192" fontId="3" fillId="0" borderId="1" xfId="2" applyNumberFormat="1" applyFont="1" applyBorder="1" applyAlignment="1">
      <alignment horizontal="right" vertical="center"/>
    </xf>
    <xf numFmtId="192" fontId="27" fillId="0" borderId="1" xfId="2" applyNumberFormat="1" applyFont="1" applyBorder="1" applyAlignment="1">
      <alignment horizontal="right" vertical="center"/>
    </xf>
    <xf numFmtId="186" fontId="11" fillId="9" borderId="8" xfId="3" applyNumberFormat="1" applyFont="1" applyFill="1" applyBorder="1" applyAlignment="1">
      <alignment horizontal="right" vertical="center"/>
    </xf>
    <xf numFmtId="186" fontId="3" fillId="9" borderId="0" xfId="3" applyNumberFormat="1" applyFont="1" applyFill="1" applyAlignment="1">
      <alignment horizontal="right" vertical="center"/>
    </xf>
    <xf numFmtId="186" fontId="9" fillId="9" borderId="26" xfId="3" applyNumberFormat="1" applyFont="1" applyFill="1" applyBorder="1" applyAlignment="1">
      <alignment horizontal="right" vertical="center"/>
    </xf>
    <xf numFmtId="206" fontId="27" fillId="9" borderId="0" xfId="3" applyNumberFormat="1" applyFont="1" applyFill="1" applyAlignment="1">
      <alignment horizontal="right" vertical="center"/>
    </xf>
    <xf numFmtId="206" fontId="7" fillId="2" borderId="5" xfId="2" applyNumberFormat="1" applyFont="1" applyFill="1" applyBorder="1" applyAlignment="1">
      <alignment horizontal="right" vertical="center"/>
    </xf>
    <xf numFmtId="207" fontId="10" fillId="2" borderId="5" xfId="2" applyNumberFormat="1" applyFont="1" applyFill="1" applyBorder="1" applyAlignment="1">
      <alignment horizontal="right" vertical="center"/>
    </xf>
    <xf numFmtId="206" fontId="9" fillId="9" borderId="4" xfId="2" applyNumberFormat="1" applyFont="1" applyFill="1" applyBorder="1" applyAlignment="1">
      <alignment horizontal="right" vertical="center"/>
    </xf>
    <xf numFmtId="207" fontId="4" fillId="9" borderId="3" xfId="2" applyNumberFormat="1" applyFont="1" applyFill="1" applyBorder="1" applyAlignment="1">
      <alignment horizontal="right" vertical="center"/>
    </xf>
    <xf numFmtId="206" fontId="28" fillId="9" borderId="0" xfId="3" applyNumberFormat="1" applyFont="1" applyFill="1" applyAlignment="1">
      <alignment horizontal="right" vertical="center"/>
    </xf>
    <xf numFmtId="192" fontId="7" fillId="2" borderId="2" xfId="2" applyNumberFormat="1" applyFont="1" applyFill="1" applyBorder="1" applyAlignment="1">
      <alignment horizontal="right" vertical="center"/>
    </xf>
    <xf numFmtId="208" fontId="10" fillId="2" borderId="6" xfId="2" applyNumberFormat="1" applyFont="1" applyFill="1" applyBorder="1" applyAlignment="1">
      <alignment horizontal="right" vertical="center"/>
    </xf>
  </cellXfs>
  <cellStyles count="31">
    <cellStyle name="blp_column_header" xfId="25" xr:uid="{4D96B877-BB12-4002-ACC8-7BCED804D35E}"/>
    <cellStyle name="Comma 2 2" xfId="26" xr:uid="{711AC89E-3510-4C23-BBEA-673C3AB7DDBA}"/>
    <cellStyle name="Lien hypertexte 2" xfId="15" xr:uid="{88D35A97-FEBE-4440-BDF8-23871200F946}"/>
    <cellStyle name="Lien hypertexte 3" xfId="24" xr:uid="{A6ED4162-7001-490B-A2A0-F99BB6E41021}"/>
    <cellStyle name="Milliers [0]" xfId="1" builtinId="6"/>
    <cellStyle name="Milliers 2" xfId="9" xr:uid="{A486F633-3D56-4716-8C2D-9FD221EC6C57}"/>
    <cellStyle name="Milliers 4" xfId="17" xr:uid="{D400BC19-82A7-4A85-A11A-ADC4AACF5C2C}"/>
    <cellStyle name="Normal" xfId="0" builtinId="0"/>
    <cellStyle name="Normal 2" xfId="2" xr:uid="{EACB0FD7-5E6B-44A3-99F4-9FE2AD3D6116}"/>
    <cellStyle name="Normal 2 2" xfId="3" xr:uid="{DD2D1F26-7895-472A-A171-63F2AB3C5C6A}"/>
    <cellStyle name="Normal 2 2 2" xfId="4" xr:uid="{9F0FF751-D229-4A0A-AEB0-0838F4248CFD}"/>
    <cellStyle name="Normal 2 2 2 2" xfId="23" xr:uid="{792F6780-1C6E-4270-A0C5-265891AF816B}"/>
    <cellStyle name="Normal 2 2 3" xfId="19" xr:uid="{BB134131-9CD9-4B7D-A5AC-65FA11F119D7}"/>
    <cellStyle name="Normal 2 2 4" xfId="28" xr:uid="{8FE24827-5DDB-488A-9469-58958E70EEC9}"/>
    <cellStyle name="Normal 2 3" xfId="22" xr:uid="{614C7FBC-BEEC-4A18-8A7F-4C0DE83E2F63}"/>
    <cellStyle name="Normal 2 4" xfId="27" xr:uid="{91F21CAB-36DF-420A-BCA8-040BEA600481}"/>
    <cellStyle name="Normal 2 6" xfId="21" xr:uid="{B99335CA-4982-4D39-AF8B-B13C978D5E02}"/>
    <cellStyle name="Normal 21" xfId="10" xr:uid="{1A060B40-D930-4777-85BB-C637F731C219}"/>
    <cellStyle name="Normal 3" xfId="6" xr:uid="{AC2D1F18-9555-483C-991C-991A6810F8DA}"/>
    <cellStyle name="Normal 3 2 2" xfId="18" xr:uid="{356EBBBE-A83A-4275-8727-B36EA1FDDACE}"/>
    <cellStyle name="Normal 3 2 6 2 5 2 2" xfId="5" xr:uid="{12D9C5AB-C8DC-40E9-AAF7-841873A467BF}"/>
    <cellStyle name="Normal 4" xfId="11" xr:uid="{797446EF-DF56-4D42-9208-D16AA47D88C8}"/>
    <cellStyle name="Normal 5" xfId="12" xr:uid="{4F6D4B82-C630-49AB-A631-BBC3D60339FB}"/>
    <cellStyle name="Normal 5 2 3" xfId="7" xr:uid="{4AA2476D-52D1-4B58-9C0C-C17AE7D89127}"/>
    <cellStyle name="Normal 6" xfId="14" xr:uid="{B7B5FD4B-38F6-4028-BC0A-F62069568523}"/>
    <cellStyle name="Normal 7" xfId="29" xr:uid="{74B68DB9-D420-4F0C-9E3A-64F3EE287419}"/>
    <cellStyle name="Pourcentage" xfId="20" builtinId="5"/>
    <cellStyle name="Pourcentage 2" xfId="13" xr:uid="{195B7D29-211D-4B02-9413-43B40AC9778B}"/>
    <cellStyle name="Pourcentage 2 3" xfId="8" xr:uid="{C4C2520D-6317-4372-A589-01B2EB493AAB}"/>
    <cellStyle name="Pourcentage 3" xfId="16" xr:uid="{58C6480C-B573-40D1-B50B-39BB6113A864}"/>
    <cellStyle name="Pourcentage 4" xfId="30" xr:uid="{569C5618-6DF0-4DEE-A1AD-97B2EA289500}"/>
  </cellStyles>
  <dxfs count="0"/>
  <tableStyles count="1" defaultTableStyle="TableStyleMedium2" defaultPivotStyle="PivotStyleLight16">
    <tableStyle name="Table Style 1" pivot="0" count="0" xr9:uid="{EE4B24C1-0C5E-47AF-B354-8AF9AAC839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1"/>
  </sheetPr>
  <dimension ref="A3:L252"/>
  <sheetViews>
    <sheetView showGridLines="0" topLeftCell="A227" workbookViewId="0">
      <selection activeCell="L22" sqref="L22"/>
    </sheetView>
  </sheetViews>
  <sheetFormatPr baseColWidth="10" defaultColWidth="11.3984375" defaultRowHeight="11.5"/>
  <cols>
    <col min="3" max="3" width="3.8984375" bestFit="1" customWidth="1"/>
    <col min="6" max="6" width="40.09765625" bestFit="1" customWidth="1"/>
    <col min="7" max="7" width="27.09765625" customWidth="1"/>
    <col min="8" max="10" width="12.09765625" style="18" bestFit="1" customWidth="1"/>
    <col min="11" max="11" width="13.59765625" style="18" bestFit="1" customWidth="1"/>
  </cols>
  <sheetData>
    <row r="3" spans="1:11">
      <c r="A3" s="16" t="s">
        <v>359</v>
      </c>
      <c r="B3" s="16" t="s">
        <v>360</v>
      </c>
      <c r="C3" s="16" t="s">
        <v>361</v>
      </c>
      <c r="D3" s="16" t="s">
        <v>362</v>
      </c>
      <c r="E3" s="16" t="s">
        <v>363</v>
      </c>
      <c r="F3" s="16" t="s">
        <v>364</v>
      </c>
      <c r="G3" s="16" t="s">
        <v>1</v>
      </c>
      <c r="H3" s="157" t="s">
        <v>365</v>
      </c>
      <c r="I3" s="157" t="s">
        <v>366</v>
      </c>
      <c r="J3" s="157" t="s">
        <v>367</v>
      </c>
      <c r="K3" s="157" t="s">
        <v>368</v>
      </c>
    </row>
    <row r="4" spans="1:11">
      <c r="A4" t="str">
        <f t="shared" ref="A4:A67" si="0">LEFT(B4,1)</f>
        <v>1</v>
      </c>
      <c r="B4" t="str">
        <f t="shared" ref="B4:B67" si="1">LEFT(C4,2)</f>
        <v>10</v>
      </c>
      <c r="C4" t="str">
        <f t="shared" ref="C4:C67" si="2">LEFT(D4,3)</f>
        <v>101</v>
      </c>
      <c r="D4" t="str">
        <f>LEFT(E4,4)</f>
        <v>1013</v>
      </c>
      <c r="E4">
        <v>101300</v>
      </c>
      <c r="F4" t="s">
        <v>369</v>
      </c>
      <c r="G4" t="s">
        <v>2</v>
      </c>
      <c r="H4">
        <v>-10000000</v>
      </c>
      <c r="I4">
        <v>-10000000</v>
      </c>
      <c r="J4">
        <v>-10000000</v>
      </c>
      <c r="K4">
        <v>-10000000</v>
      </c>
    </row>
    <row r="5" spans="1:11">
      <c r="A5" t="str">
        <f t="shared" si="0"/>
        <v>1</v>
      </c>
      <c r="B5" t="str">
        <f t="shared" si="1"/>
        <v>11</v>
      </c>
      <c r="C5" t="str">
        <f t="shared" si="2"/>
        <v>111</v>
      </c>
      <c r="D5" t="str">
        <f t="shared" ref="D5:D68" si="3">LEFT(E5,4)</f>
        <v>1110</v>
      </c>
      <c r="E5">
        <v>111000</v>
      </c>
      <c r="F5" t="s">
        <v>370</v>
      </c>
      <c r="G5" t="s">
        <v>4</v>
      </c>
      <c r="H5">
        <v>-567637</v>
      </c>
      <c r="I5">
        <v>-754257</v>
      </c>
      <c r="J5">
        <v>-754257</v>
      </c>
      <c r="K5">
        <v>-754257</v>
      </c>
    </row>
    <row r="6" spans="1:11">
      <c r="A6" t="str">
        <f t="shared" si="0"/>
        <v>1</v>
      </c>
      <c r="B6" t="str">
        <f t="shared" si="1"/>
        <v>11</v>
      </c>
      <c r="C6" t="str">
        <f t="shared" si="2"/>
        <v>118</v>
      </c>
      <c r="D6" t="str">
        <f t="shared" si="3"/>
        <v>1188</v>
      </c>
      <c r="E6">
        <v>118800</v>
      </c>
      <c r="F6" t="s">
        <v>371</v>
      </c>
      <c r="G6" t="s">
        <v>5</v>
      </c>
      <c r="H6">
        <v>-10785102</v>
      </c>
      <c r="I6">
        <v>-10785102</v>
      </c>
      <c r="J6">
        <v>-10785102</v>
      </c>
      <c r="K6">
        <v>-10785102</v>
      </c>
    </row>
    <row r="7" spans="1:11">
      <c r="A7" t="str">
        <f t="shared" si="0"/>
        <v>1</v>
      </c>
      <c r="B7" t="str">
        <f t="shared" si="1"/>
        <v>12</v>
      </c>
      <c r="C7" t="str">
        <f t="shared" si="2"/>
        <v>121</v>
      </c>
      <c r="D7" t="str">
        <f t="shared" si="3"/>
        <v>1211</v>
      </c>
      <c r="E7">
        <v>121100</v>
      </c>
      <c r="F7" t="s">
        <v>372</v>
      </c>
      <c r="G7" t="s">
        <v>6</v>
      </c>
      <c r="H7"/>
      <c r="I7"/>
      <c r="J7"/>
      <c r="K7">
        <v>-652824</v>
      </c>
    </row>
    <row r="8" spans="1:11">
      <c r="A8" t="str">
        <f t="shared" si="0"/>
        <v>1</v>
      </c>
      <c r="B8" t="str">
        <f t="shared" si="1"/>
        <v>12</v>
      </c>
      <c r="C8" t="str">
        <f t="shared" si="2"/>
        <v>129</v>
      </c>
      <c r="D8" t="str">
        <f t="shared" si="3"/>
        <v>1291</v>
      </c>
      <c r="E8">
        <v>129100</v>
      </c>
      <c r="F8" t="s">
        <v>372</v>
      </c>
      <c r="G8" t="s">
        <v>8</v>
      </c>
      <c r="H8">
        <v>34651142</v>
      </c>
      <c r="I8">
        <v>32971560</v>
      </c>
      <c r="J8">
        <v>32971560</v>
      </c>
      <c r="K8">
        <v>34656288</v>
      </c>
    </row>
    <row r="9" spans="1:11">
      <c r="A9" t="str">
        <f t="shared" si="0"/>
        <v>1</v>
      </c>
      <c r="B9" t="str">
        <f t="shared" si="1"/>
        <v>13</v>
      </c>
      <c r="C9" t="str">
        <f t="shared" si="2"/>
        <v>130</v>
      </c>
      <c r="D9" t="str">
        <f t="shared" si="3"/>
        <v>1300</v>
      </c>
      <c r="E9">
        <v>130000</v>
      </c>
      <c r="G9" t="s">
        <v>9</v>
      </c>
      <c r="H9"/>
      <c r="I9"/>
      <c r="J9"/>
      <c r="K9">
        <v>0</v>
      </c>
    </row>
    <row r="10" spans="1:11">
      <c r="A10" t="str">
        <f t="shared" si="0"/>
        <v>1</v>
      </c>
      <c r="B10" t="str">
        <f t="shared" si="1"/>
        <v>13</v>
      </c>
      <c r="C10" t="str">
        <f t="shared" si="2"/>
        <v>130</v>
      </c>
      <c r="D10" t="str">
        <f t="shared" si="3"/>
        <v>1301</v>
      </c>
      <c r="E10">
        <v>130100</v>
      </c>
      <c r="F10" t="s">
        <v>373</v>
      </c>
      <c r="G10" t="s">
        <v>11</v>
      </c>
      <c r="H10">
        <v>0</v>
      </c>
      <c r="I10">
        <v>0</v>
      </c>
      <c r="J10">
        <v>1684728</v>
      </c>
      <c r="K10">
        <v>0</v>
      </c>
    </row>
    <row r="11" spans="1:11">
      <c r="A11" t="str">
        <f t="shared" si="0"/>
        <v>1</v>
      </c>
      <c r="B11" t="str">
        <f t="shared" si="1"/>
        <v>13</v>
      </c>
      <c r="C11" t="str">
        <f t="shared" si="2"/>
        <v>130</v>
      </c>
      <c r="D11" t="str">
        <f t="shared" si="3"/>
        <v>1309</v>
      </c>
      <c r="E11">
        <v>130900</v>
      </c>
      <c r="F11" t="s">
        <v>373</v>
      </c>
      <c r="G11" t="s">
        <v>12</v>
      </c>
      <c r="H11">
        <v>0</v>
      </c>
      <c r="I11">
        <v>0</v>
      </c>
      <c r="J11">
        <v>0</v>
      </c>
      <c r="K11">
        <v>0</v>
      </c>
    </row>
    <row r="12" spans="1:11">
      <c r="A12" t="str">
        <f t="shared" si="0"/>
        <v>1</v>
      </c>
      <c r="B12" t="str">
        <f t="shared" si="1"/>
        <v>16</v>
      </c>
      <c r="C12" t="str">
        <f t="shared" si="2"/>
        <v>162</v>
      </c>
      <c r="D12" t="str">
        <f t="shared" si="3"/>
        <v>1620</v>
      </c>
      <c r="E12">
        <v>162000</v>
      </c>
      <c r="F12" t="s">
        <v>374</v>
      </c>
      <c r="G12" t="s">
        <v>14</v>
      </c>
      <c r="H12">
        <v>0</v>
      </c>
      <c r="I12">
        <v>0</v>
      </c>
      <c r="J12">
        <v>0</v>
      </c>
      <c r="K12"/>
    </row>
    <row r="13" spans="1:11">
      <c r="A13" t="str">
        <f t="shared" si="0"/>
        <v>1</v>
      </c>
      <c r="B13" t="str">
        <f t="shared" si="1"/>
        <v>16</v>
      </c>
      <c r="C13" t="str">
        <f t="shared" si="2"/>
        <v>162</v>
      </c>
      <c r="D13" t="str">
        <f t="shared" si="3"/>
        <v>1620</v>
      </c>
      <c r="E13">
        <v>162010</v>
      </c>
      <c r="F13" t="s">
        <v>374</v>
      </c>
      <c r="G13" t="s">
        <v>15</v>
      </c>
      <c r="H13"/>
      <c r="I13"/>
      <c r="J13"/>
      <c r="K13">
        <v>-124833207</v>
      </c>
    </row>
    <row r="14" spans="1:11">
      <c r="A14" t="str">
        <f t="shared" si="0"/>
        <v>1</v>
      </c>
      <c r="B14" t="str">
        <f t="shared" si="1"/>
        <v>16</v>
      </c>
      <c r="C14" t="str">
        <f t="shared" si="2"/>
        <v>162</v>
      </c>
      <c r="D14" t="str">
        <f t="shared" si="3"/>
        <v>1621</v>
      </c>
      <c r="E14">
        <v>162100</v>
      </c>
      <c r="F14" t="s">
        <v>374</v>
      </c>
      <c r="G14" t="s">
        <v>16</v>
      </c>
      <c r="H14" s="18">
        <v>-5344683</v>
      </c>
      <c r="I14">
        <v>0</v>
      </c>
      <c r="J14">
        <v>0</v>
      </c>
      <c r="K14">
        <v>0</v>
      </c>
    </row>
    <row r="15" spans="1:11">
      <c r="A15" t="str">
        <f t="shared" si="0"/>
        <v>1</v>
      </c>
      <c r="B15" t="str">
        <f t="shared" si="1"/>
        <v>16</v>
      </c>
      <c r="C15" t="str">
        <f t="shared" si="2"/>
        <v>162</v>
      </c>
      <c r="D15" t="str">
        <f t="shared" si="3"/>
        <v>1622</v>
      </c>
      <c r="E15">
        <v>162200</v>
      </c>
      <c r="F15" t="s">
        <v>374</v>
      </c>
      <c r="G15" t="s">
        <v>17</v>
      </c>
      <c r="H15" s="18">
        <v>-8539331</v>
      </c>
      <c r="I15">
        <v>0</v>
      </c>
      <c r="J15">
        <v>0</v>
      </c>
      <c r="K15">
        <v>0</v>
      </c>
    </row>
    <row r="16" spans="1:11">
      <c r="A16" t="str">
        <f t="shared" si="0"/>
        <v>1</v>
      </c>
      <c r="B16" t="str">
        <f t="shared" si="1"/>
        <v>16</v>
      </c>
      <c r="C16" t="str">
        <f t="shared" si="2"/>
        <v>162</v>
      </c>
      <c r="D16" t="str">
        <f t="shared" si="3"/>
        <v>1623</v>
      </c>
      <c r="E16">
        <v>162300</v>
      </c>
      <c r="F16" t="s">
        <v>374</v>
      </c>
      <c r="G16" t="s">
        <v>18</v>
      </c>
      <c r="I16">
        <v>-24895681</v>
      </c>
      <c r="J16">
        <v>0</v>
      </c>
      <c r="K16">
        <v>0</v>
      </c>
    </row>
    <row r="17" spans="1:11">
      <c r="A17" t="str">
        <f t="shared" si="0"/>
        <v>1</v>
      </c>
      <c r="B17" t="str">
        <f t="shared" si="1"/>
        <v>16</v>
      </c>
      <c r="C17" t="str">
        <f t="shared" si="2"/>
        <v>166</v>
      </c>
      <c r="D17" t="str">
        <f t="shared" si="3"/>
        <v>1662</v>
      </c>
      <c r="E17">
        <v>166200</v>
      </c>
      <c r="F17" t="s">
        <v>374</v>
      </c>
      <c r="G17" t="s">
        <v>14</v>
      </c>
      <c r="I17"/>
      <c r="J17"/>
      <c r="K17">
        <v>0</v>
      </c>
    </row>
    <row r="18" spans="1:11">
      <c r="A18" t="str">
        <f t="shared" si="0"/>
        <v>1</v>
      </c>
      <c r="B18" t="str">
        <f t="shared" si="1"/>
        <v>16</v>
      </c>
      <c r="C18" t="str">
        <f t="shared" si="2"/>
        <v>166</v>
      </c>
      <c r="D18" t="str">
        <f t="shared" si="3"/>
        <v>1662</v>
      </c>
      <c r="E18">
        <v>166200</v>
      </c>
      <c r="F18" t="s">
        <v>374</v>
      </c>
      <c r="G18" t="s">
        <v>19</v>
      </c>
      <c r="H18">
        <v>-287539</v>
      </c>
      <c r="I18">
        <v>0</v>
      </c>
      <c r="J18">
        <v>0</v>
      </c>
      <c r="K18" s="18">
        <v>0</v>
      </c>
    </row>
    <row r="19" spans="1:11">
      <c r="A19" t="str">
        <f t="shared" si="0"/>
        <v>1</v>
      </c>
      <c r="B19" t="str">
        <f t="shared" si="1"/>
        <v>17</v>
      </c>
      <c r="C19" t="str">
        <f t="shared" si="2"/>
        <v>173</v>
      </c>
      <c r="D19" t="str">
        <f t="shared" si="3"/>
        <v>1730</v>
      </c>
      <c r="E19">
        <v>173000</v>
      </c>
      <c r="F19" t="s">
        <v>375</v>
      </c>
      <c r="G19" t="s">
        <v>20</v>
      </c>
      <c r="H19">
        <v>-13011545</v>
      </c>
      <c r="I19">
        <v>-7198580</v>
      </c>
      <c r="J19">
        <v>-3332695</v>
      </c>
      <c r="K19">
        <v>0</v>
      </c>
    </row>
    <row r="20" spans="1:11">
      <c r="A20" t="str">
        <f t="shared" si="0"/>
        <v>1</v>
      </c>
      <c r="B20" t="str">
        <f t="shared" si="1"/>
        <v>17</v>
      </c>
      <c r="C20" t="str">
        <f t="shared" si="2"/>
        <v>173</v>
      </c>
      <c r="D20" t="str">
        <f t="shared" si="3"/>
        <v>1731</v>
      </c>
      <c r="E20">
        <v>173100</v>
      </c>
      <c r="F20" t="s">
        <v>375</v>
      </c>
      <c r="G20" t="s">
        <v>21</v>
      </c>
      <c r="H20"/>
      <c r="I20"/>
      <c r="J20">
        <v>-17546207</v>
      </c>
      <c r="K20">
        <v>-9523249</v>
      </c>
    </row>
    <row r="21" spans="1:11">
      <c r="A21" t="str">
        <f t="shared" si="0"/>
        <v>1</v>
      </c>
      <c r="B21" t="str">
        <f t="shared" si="1"/>
        <v>17</v>
      </c>
      <c r="C21" t="str">
        <f t="shared" si="2"/>
        <v>176</v>
      </c>
      <c r="D21" t="str">
        <f t="shared" si="3"/>
        <v>1763</v>
      </c>
      <c r="E21">
        <v>176300</v>
      </c>
      <c r="F21" t="s">
        <v>375</v>
      </c>
      <c r="G21" t="s">
        <v>22</v>
      </c>
      <c r="H21">
        <v>-397709</v>
      </c>
      <c r="I21">
        <v>-397709</v>
      </c>
      <c r="J21">
        <v>-11983</v>
      </c>
      <c r="K21">
        <v>-2498</v>
      </c>
    </row>
    <row r="22" spans="1:11">
      <c r="A22" t="str">
        <f t="shared" si="0"/>
        <v>1</v>
      </c>
      <c r="B22" t="str">
        <f t="shared" si="1"/>
        <v>19</v>
      </c>
      <c r="C22" t="str">
        <f t="shared" si="2"/>
        <v>196</v>
      </c>
      <c r="D22" t="str">
        <f t="shared" si="3"/>
        <v>1961</v>
      </c>
      <c r="E22">
        <v>196100</v>
      </c>
      <c r="F22" t="s">
        <v>376</v>
      </c>
      <c r="G22" t="s">
        <v>23</v>
      </c>
      <c r="H22">
        <v>-4359763</v>
      </c>
      <c r="I22">
        <v>-7493797</v>
      </c>
      <c r="J22">
        <v>-10620691</v>
      </c>
      <c r="K22">
        <v>-24352976</v>
      </c>
    </row>
    <row r="23" spans="1:11">
      <c r="A23" t="str">
        <f t="shared" si="0"/>
        <v>2</v>
      </c>
      <c r="B23" t="str">
        <f t="shared" si="1"/>
        <v>21</v>
      </c>
      <c r="C23" t="str">
        <f t="shared" si="2"/>
        <v>213</v>
      </c>
      <c r="D23" t="str">
        <f t="shared" si="3"/>
        <v>2131</v>
      </c>
      <c r="E23">
        <v>213100</v>
      </c>
      <c r="F23" s="32" t="s">
        <v>24</v>
      </c>
      <c r="G23" t="s">
        <v>24</v>
      </c>
      <c r="H23"/>
      <c r="I23"/>
      <c r="J23"/>
      <c r="K23">
        <v>1000000</v>
      </c>
    </row>
    <row r="24" spans="1:11">
      <c r="A24" t="str">
        <f t="shared" si="0"/>
        <v>2</v>
      </c>
      <c r="B24" t="str">
        <f t="shared" si="1"/>
        <v>21</v>
      </c>
      <c r="C24" t="str">
        <f t="shared" si="2"/>
        <v>219</v>
      </c>
      <c r="D24" t="str">
        <f t="shared" si="3"/>
        <v>2193</v>
      </c>
      <c r="E24">
        <v>219300</v>
      </c>
      <c r="F24" t="s">
        <v>377</v>
      </c>
      <c r="G24" t="s">
        <v>25</v>
      </c>
      <c r="H24"/>
      <c r="I24">
        <v>116449580</v>
      </c>
      <c r="J24">
        <v>184137292</v>
      </c>
      <c r="K24">
        <v>245606888</v>
      </c>
    </row>
    <row r="25" spans="1:11">
      <c r="A25" t="str">
        <f t="shared" si="0"/>
        <v>2</v>
      </c>
      <c r="B25" t="str">
        <f t="shared" si="1"/>
        <v>23</v>
      </c>
      <c r="C25" t="str">
        <f t="shared" si="2"/>
        <v>235</v>
      </c>
      <c r="D25" t="str">
        <f t="shared" si="3"/>
        <v>2351</v>
      </c>
      <c r="E25">
        <v>235100</v>
      </c>
      <c r="F25" t="s">
        <v>378</v>
      </c>
      <c r="G25" t="s">
        <v>27</v>
      </c>
      <c r="H25"/>
      <c r="I25"/>
      <c r="J25"/>
      <c r="K25">
        <v>0</v>
      </c>
    </row>
    <row r="26" spans="1:11">
      <c r="A26" t="str">
        <f t="shared" si="0"/>
        <v>2</v>
      </c>
      <c r="B26" t="str">
        <f t="shared" si="1"/>
        <v>23</v>
      </c>
      <c r="C26" t="str">
        <f t="shared" si="2"/>
        <v>235</v>
      </c>
      <c r="D26" t="str">
        <f t="shared" si="3"/>
        <v>2358</v>
      </c>
      <c r="E26">
        <v>235800</v>
      </c>
      <c r="F26" t="s">
        <v>378</v>
      </c>
      <c r="G26" t="s">
        <v>28</v>
      </c>
      <c r="H26">
        <v>3101693</v>
      </c>
      <c r="I26">
        <v>3563557</v>
      </c>
      <c r="J26">
        <v>6445190</v>
      </c>
      <c r="K26">
        <v>22477778</v>
      </c>
    </row>
    <row r="27" spans="1:11">
      <c r="A27" t="str">
        <f t="shared" si="0"/>
        <v>2</v>
      </c>
      <c r="B27" t="str">
        <f t="shared" si="1"/>
        <v>24</v>
      </c>
      <c r="C27" t="str">
        <f t="shared" si="2"/>
        <v>244</v>
      </c>
      <c r="D27" t="str">
        <f t="shared" si="3"/>
        <v>2441</v>
      </c>
      <c r="E27">
        <v>244100</v>
      </c>
      <c r="F27" t="s">
        <v>379</v>
      </c>
      <c r="G27" t="s">
        <v>30</v>
      </c>
      <c r="H27"/>
      <c r="I27"/>
      <c r="J27"/>
      <c r="K27">
        <v>0</v>
      </c>
    </row>
    <row r="28" spans="1:11">
      <c r="A28" t="str">
        <f t="shared" si="0"/>
        <v>2</v>
      </c>
      <c r="B28" t="str">
        <f t="shared" si="1"/>
        <v>24</v>
      </c>
      <c r="C28" t="str">
        <f t="shared" si="2"/>
        <v>244</v>
      </c>
      <c r="D28" t="str">
        <f t="shared" si="3"/>
        <v>2442</v>
      </c>
      <c r="E28">
        <v>244200</v>
      </c>
      <c r="F28" t="s">
        <v>32</v>
      </c>
      <c r="G28" t="s">
        <v>32</v>
      </c>
      <c r="H28">
        <v>7641557</v>
      </c>
      <c r="I28">
        <v>24074835</v>
      </c>
      <c r="J28">
        <v>28896075</v>
      </c>
      <c r="K28">
        <v>34367685</v>
      </c>
    </row>
    <row r="29" spans="1:11">
      <c r="A29" t="str">
        <f t="shared" si="0"/>
        <v>2</v>
      </c>
      <c r="B29" t="str">
        <f t="shared" si="1"/>
        <v>24</v>
      </c>
      <c r="C29" t="str">
        <f t="shared" si="2"/>
        <v>244</v>
      </c>
      <c r="D29" t="str">
        <f t="shared" si="3"/>
        <v>2444</v>
      </c>
      <c r="E29">
        <v>244400</v>
      </c>
      <c r="F29" t="s">
        <v>379</v>
      </c>
      <c r="G29" t="s">
        <v>34</v>
      </c>
      <c r="H29">
        <v>10808801</v>
      </c>
      <c r="I29">
        <v>11713348</v>
      </c>
      <c r="J29">
        <v>14736586</v>
      </c>
      <c r="K29">
        <v>27311138</v>
      </c>
    </row>
    <row r="30" spans="1:11">
      <c r="A30" t="str">
        <f t="shared" si="0"/>
        <v>2</v>
      </c>
      <c r="B30" t="str">
        <f t="shared" si="1"/>
        <v>24</v>
      </c>
      <c r="C30" t="str">
        <f t="shared" si="2"/>
        <v>245</v>
      </c>
      <c r="D30" t="str">
        <f t="shared" si="3"/>
        <v>2456</v>
      </c>
      <c r="E30">
        <v>245600</v>
      </c>
      <c r="F30" t="s">
        <v>380</v>
      </c>
      <c r="G30" t="s">
        <v>35</v>
      </c>
      <c r="H30">
        <v>15000000</v>
      </c>
      <c r="I30">
        <v>45700000</v>
      </c>
      <c r="J30">
        <v>45700000</v>
      </c>
      <c r="K30">
        <v>45700000</v>
      </c>
    </row>
    <row r="31" spans="1:11">
      <c r="A31" t="str">
        <f t="shared" si="0"/>
        <v>2</v>
      </c>
      <c r="B31" t="str">
        <f t="shared" si="1"/>
        <v>27</v>
      </c>
      <c r="C31" t="str">
        <f t="shared" si="2"/>
        <v>275</v>
      </c>
      <c r="D31" t="str">
        <f t="shared" si="3"/>
        <v>2751</v>
      </c>
      <c r="E31">
        <v>275100</v>
      </c>
      <c r="F31" s="32" t="s">
        <v>381</v>
      </c>
      <c r="G31" t="s">
        <v>36</v>
      </c>
      <c r="H31"/>
      <c r="I31"/>
      <c r="J31"/>
      <c r="K31">
        <v>3000000</v>
      </c>
    </row>
    <row r="32" spans="1:11">
      <c r="A32" t="str">
        <f t="shared" si="0"/>
        <v>2</v>
      </c>
      <c r="B32" t="str">
        <f t="shared" si="1"/>
        <v>28</v>
      </c>
      <c r="C32" t="str">
        <f t="shared" si="2"/>
        <v>281</v>
      </c>
      <c r="D32" t="str">
        <f t="shared" si="3"/>
        <v>2813</v>
      </c>
      <c r="E32">
        <v>281300</v>
      </c>
      <c r="F32" t="s">
        <v>24</v>
      </c>
      <c r="G32" t="s">
        <v>37</v>
      </c>
      <c r="H32"/>
      <c r="I32"/>
      <c r="J32"/>
      <c r="K32">
        <v>-269444</v>
      </c>
    </row>
    <row r="33" spans="1:11">
      <c r="A33" t="str">
        <f t="shared" si="0"/>
        <v>2</v>
      </c>
      <c r="B33" t="str">
        <f t="shared" si="1"/>
        <v>28</v>
      </c>
      <c r="C33" t="str">
        <f t="shared" si="2"/>
        <v>283</v>
      </c>
      <c r="D33" t="str">
        <f t="shared" si="3"/>
        <v>2834</v>
      </c>
      <c r="E33">
        <v>283400</v>
      </c>
      <c r="F33" t="s">
        <v>382</v>
      </c>
      <c r="G33" t="s">
        <v>39</v>
      </c>
      <c r="H33">
        <v>-1278605</v>
      </c>
      <c r="I33">
        <v>-1898944</v>
      </c>
      <c r="J33">
        <v>0</v>
      </c>
      <c r="K33">
        <v>0</v>
      </c>
    </row>
    <row r="34" spans="1:11">
      <c r="A34" t="str">
        <f t="shared" si="0"/>
        <v>2</v>
      </c>
      <c r="B34" t="str">
        <f t="shared" si="1"/>
        <v>28</v>
      </c>
      <c r="C34" t="str">
        <f t="shared" si="2"/>
        <v>283</v>
      </c>
      <c r="D34" t="str">
        <f t="shared" si="3"/>
        <v>2835</v>
      </c>
      <c r="E34">
        <v>283500</v>
      </c>
      <c r="F34" t="s">
        <v>382</v>
      </c>
      <c r="G34" t="s">
        <v>40</v>
      </c>
      <c r="H34"/>
      <c r="I34"/>
      <c r="J34">
        <v>-3122176</v>
      </c>
      <c r="K34">
        <v>-789989</v>
      </c>
    </row>
    <row r="35" spans="1:11">
      <c r="A35" t="str">
        <f t="shared" si="0"/>
        <v>2</v>
      </c>
      <c r="B35" t="str">
        <f t="shared" si="1"/>
        <v>28</v>
      </c>
      <c r="C35" t="str">
        <f t="shared" si="2"/>
        <v>284</v>
      </c>
      <c r="D35" t="str">
        <f t="shared" si="3"/>
        <v>2844</v>
      </c>
      <c r="E35">
        <v>284400</v>
      </c>
      <c r="F35" t="s">
        <v>379</v>
      </c>
      <c r="G35" t="s">
        <v>42</v>
      </c>
      <c r="H35">
        <v>-7909488</v>
      </c>
      <c r="I35">
        <v>-15510794</v>
      </c>
      <c r="J35">
        <v>0</v>
      </c>
      <c r="K35">
        <v>0</v>
      </c>
    </row>
    <row r="36" spans="1:11">
      <c r="A36" t="str">
        <f t="shared" si="0"/>
        <v>2</v>
      </c>
      <c r="B36" t="str">
        <f t="shared" si="1"/>
        <v>28</v>
      </c>
      <c r="C36" t="str">
        <f t="shared" si="2"/>
        <v>284</v>
      </c>
      <c r="D36" t="str">
        <f t="shared" si="3"/>
        <v>2844</v>
      </c>
      <c r="E36">
        <v>284410</v>
      </c>
      <c r="F36" t="s">
        <v>379</v>
      </c>
      <c r="G36" t="s">
        <v>43</v>
      </c>
      <c r="H36"/>
      <c r="I36"/>
      <c r="J36">
        <v>-4628771</v>
      </c>
      <c r="K36"/>
    </row>
    <row r="37" spans="1:11">
      <c r="A37" t="str">
        <f t="shared" si="0"/>
        <v>2</v>
      </c>
      <c r="B37" t="str">
        <f t="shared" si="1"/>
        <v>28</v>
      </c>
      <c r="C37" t="str">
        <f t="shared" si="2"/>
        <v>284</v>
      </c>
      <c r="D37" t="str">
        <f t="shared" si="3"/>
        <v>2844</v>
      </c>
      <c r="E37">
        <v>284420</v>
      </c>
      <c r="F37" t="s">
        <v>379</v>
      </c>
      <c r="G37" t="s">
        <v>44</v>
      </c>
      <c r="H37"/>
      <c r="I37"/>
      <c r="J37"/>
      <c r="K37" s="18">
        <v>-6629725</v>
      </c>
    </row>
    <row r="38" spans="1:11">
      <c r="A38" t="str">
        <f t="shared" si="0"/>
        <v>2</v>
      </c>
      <c r="B38" t="str">
        <f t="shared" si="1"/>
        <v>28</v>
      </c>
      <c r="C38" t="str">
        <f t="shared" si="2"/>
        <v>284</v>
      </c>
      <c r="D38" t="str">
        <f t="shared" si="3"/>
        <v>2844</v>
      </c>
      <c r="E38">
        <v>284420</v>
      </c>
      <c r="F38" t="s">
        <v>379</v>
      </c>
      <c r="G38" t="s">
        <v>45</v>
      </c>
      <c r="H38"/>
      <c r="I38"/>
      <c r="J38">
        <v>-22714796</v>
      </c>
      <c r="K38"/>
    </row>
    <row r="39" spans="1:11">
      <c r="A39" t="str">
        <f>LEFT(B39,1)</f>
        <v>2</v>
      </c>
      <c r="B39" t="str">
        <f>LEFT(C39,2)</f>
        <v>28</v>
      </c>
      <c r="C39" t="str">
        <f>LEFT(D39,3)</f>
        <v>284</v>
      </c>
      <c r="D39" t="str">
        <f>LEFT(E39,4)</f>
        <v>2844</v>
      </c>
      <c r="E39">
        <v>284420</v>
      </c>
      <c r="F39" t="s">
        <v>32</v>
      </c>
      <c r="G39" t="s">
        <v>46</v>
      </c>
      <c r="H39"/>
      <c r="I39"/>
      <c r="J39"/>
      <c r="K39" s="18">
        <v>-30012484</v>
      </c>
    </row>
    <row r="40" spans="1:11">
      <c r="A40" t="str">
        <f t="shared" si="0"/>
        <v>2</v>
      </c>
      <c r="B40" t="str">
        <f t="shared" si="1"/>
        <v>28</v>
      </c>
      <c r="C40" t="str">
        <f t="shared" si="2"/>
        <v>284</v>
      </c>
      <c r="D40" t="str">
        <f t="shared" si="3"/>
        <v>2845</v>
      </c>
      <c r="E40">
        <v>284500</v>
      </c>
      <c r="F40" t="s">
        <v>380</v>
      </c>
      <c r="G40" t="s">
        <v>48</v>
      </c>
      <c r="H40">
        <v>-1623288</v>
      </c>
      <c r="I40">
        <v>-7302072</v>
      </c>
      <c r="J40">
        <v>-32768521</v>
      </c>
      <c r="K40">
        <v>-44007109</v>
      </c>
    </row>
    <row r="41" spans="1:11">
      <c r="A41" t="str">
        <f t="shared" si="0"/>
        <v>4</v>
      </c>
      <c r="B41" t="str">
        <f t="shared" si="1"/>
        <v>40</v>
      </c>
      <c r="C41" t="str">
        <f t="shared" si="2"/>
        <v>401</v>
      </c>
      <c r="D41" t="str">
        <f t="shared" si="3"/>
        <v>4011</v>
      </c>
      <c r="E41">
        <v>401100</v>
      </c>
      <c r="F41" t="s">
        <v>50</v>
      </c>
      <c r="G41" t="s">
        <v>50</v>
      </c>
      <c r="H41">
        <v>-1707149</v>
      </c>
      <c r="I41">
        <v>-5038100</v>
      </c>
      <c r="J41">
        <v>-47075821</v>
      </c>
      <c r="K41">
        <v>-40067935</v>
      </c>
    </row>
    <row r="42" spans="1:11">
      <c r="A42" t="str">
        <f t="shared" si="0"/>
        <v>4</v>
      </c>
      <c r="B42" t="str">
        <f t="shared" si="1"/>
        <v>40</v>
      </c>
      <c r="C42" t="str">
        <f t="shared" si="2"/>
        <v>408</v>
      </c>
      <c r="D42" t="str">
        <f t="shared" si="3"/>
        <v>4081</v>
      </c>
      <c r="E42">
        <v>408100</v>
      </c>
      <c r="F42" t="s">
        <v>50</v>
      </c>
      <c r="G42" t="s">
        <v>52</v>
      </c>
      <c r="H42">
        <v>-3418443</v>
      </c>
      <c r="I42">
        <v>-36218655</v>
      </c>
      <c r="J42">
        <v>-959948</v>
      </c>
      <c r="K42">
        <v>-5083299</v>
      </c>
    </row>
    <row r="43" spans="1:11">
      <c r="A43" t="str">
        <f t="shared" si="0"/>
        <v>4</v>
      </c>
      <c r="B43" t="str">
        <f t="shared" si="1"/>
        <v>40</v>
      </c>
      <c r="C43" t="str">
        <f t="shared" si="2"/>
        <v>409</v>
      </c>
      <c r="D43" t="str">
        <f t="shared" si="3"/>
        <v>4091</v>
      </c>
      <c r="E43">
        <v>409100</v>
      </c>
      <c r="F43" t="s">
        <v>383</v>
      </c>
      <c r="G43" t="s">
        <v>54</v>
      </c>
      <c r="H43">
        <v>2478289</v>
      </c>
      <c r="I43">
        <v>7106398</v>
      </c>
      <c r="J43">
        <v>6853289</v>
      </c>
      <c r="K43">
        <v>12356112</v>
      </c>
    </row>
    <row r="44" spans="1:11">
      <c r="A44" t="str">
        <f t="shared" si="0"/>
        <v>4</v>
      </c>
      <c r="B44" t="str">
        <f t="shared" si="1"/>
        <v>40</v>
      </c>
      <c r="C44" t="str">
        <f t="shared" si="2"/>
        <v>409</v>
      </c>
      <c r="D44" t="str">
        <f t="shared" si="3"/>
        <v>4098</v>
      </c>
      <c r="E44">
        <v>409800</v>
      </c>
      <c r="G44" t="s">
        <v>55</v>
      </c>
      <c r="H44"/>
      <c r="I44"/>
      <c r="J44"/>
      <c r="K44">
        <v>0</v>
      </c>
    </row>
    <row r="45" spans="1:11">
      <c r="A45" t="str">
        <f t="shared" si="0"/>
        <v>4</v>
      </c>
      <c r="B45" t="str">
        <f t="shared" si="1"/>
        <v>41</v>
      </c>
      <c r="C45" t="str">
        <f t="shared" si="2"/>
        <v>411</v>
      </c>
      <c r="D45" t="str">
        <f t="shared" si="3"/>
        <v>4111</v>
      </c>
      <c r="E45">
        <v>411100</v>
      </c>
      <c r="F45" t="s">
        <v>57</v>
      </c>
      <c r="G45" t="s">
        <v>57</v>
      </c>
      <c r="H45">
        <v>226238418</v>
      </c>
      <c r="I45">
        <v>159820453</v>
      </c>
      <c r="J45">
        <v>294476153</v>
      </c>
      <c r="K45">
        <v>276204832</v>
      </c>
    </row>
    <row r="46" spans="1:11">
      <c r="A46" t="str">
        <f t="shared" si="0"/>
        <v>4</v>
      </c>
      <c r="B46" t="str">
        <f t="shared" si="1"/>
        <v>41</v>
      </c>
      <c r="C46" t="str">
        <f t="shared" si="2"/>
        <v>418</v>
      </c>
      <c r="D46" t="str">
        <f t="shared" si="3"/>
        <v>4181</v>
      </c>
      <c r="E46">
        <v>418100</v>
      </c>
      <c r="F46" t="s">
        <v>57</v>
      </c>
      <c r="G46" t="s">
        <v>58</v>
      </c>
      <c r="H46">
        <v>239055001</v>
      </c>
      <c r="I46">
        <v>0</v>
      </c>
      <c r="J46">
        <v>0</v>
      </c>
      <c r="K46">
        <v>52215467</v>
      </c>
    </row>
    <row r="47" spans="1:11">
      <c r="A47" t="str">
        <f t="shared" si="0"/>
        <v>4</v>
      </c>
      <c r="B47" t="str">
        <f t="shared" si="1"/>
        <v>41</v>
      </c>
      <c r="C47" t="str">
        <f t="shared" si="2"/>
        <v>419</v>
      </c>
      <c r="D47" t="str">
        <f t="shared" si="3"/>
        <v>4191</v>
      </c>
      <c r="E47">
        <v>419100</v>
      </c>
      <c r="F47" t="s">
        <v>384</v>
      </c>
      <c r="G47" t="s">
        <v>60</v>
      </c>
      <c r="H47">
        <v>0</v>
      </c>
      <c r="I47">
        <v>-4115175</v>
      </c>
      <c r="J47">
        <v>0</v>
      </c>
      <c r="K47">
        <v>0</v>
      </c>
    </row>
    <row r="48" spans="1:11">
      <c r="A48" t="str">
        <f t="shared" si="0"/>
        <v>4</v>
      </c>
      <c r="B48" t="str">
        <f t="shared" si="1"/>
        <v>42</v>
      </c>
      <c r="C48" t="str">
        <f t="shared" si="2"/>
        <v>421</v>
      </c>
      <c r="D48" t="str">
        <f t="shared" si="3"/>
        <v>4211</v>
      </c>
      <c r="E48">
        <v>421100</v>
      </c>
      <c r="F48" t="s">
        <v>385</v>
      </c>
      <c r="G48" t="s">
        <v>61</v>
      </c>
      <c r="H48">
        <v>710000</v>
      </c>
      <c r="I48">
        <v>400000</v>
      </c>
      <c r="J48">
        <v>45000</v>
      </c>
      <c r="K48">
        <v>100000</v>
      </c>
    </row>
    <row r="49" spans="1:11">
      <c r="A49" t="str">
        <f t="shared" si="0"/>
        <v>4</v>
      </c>
      <c r="B49" t="str">
        <f t="shared" si="1"/>
        <v>42</v>
      </c>
      <c r="C49" t="str">
        <f t="shared" si="2"/>
        <v>422</v>
      </c>
      <c r="D49" t="str">
        <f t="shared" si="3"/>
        <v>4220</v>
      </c>
      <c r="E49">
        <v>422000</v>
      </c>
      <c r="F49" t="s">
        <v>385</v>
      </c>
      <c r="G49" t="s">
        <v>63</v>
      </c>
      <c r="H49">
        <v>0</v>
      </c>
      <c r="I49">
        <v>-103818</v>
      </c>
      <c r="J49">
        <v>-17726977</v>
      </c>
      <c r="K49">
        <v>-31092304</v>
      </c>
    </row>
    <row r="50" spans="1:11">
      <c r="A50" t="str">
        <f t="shared" si="0"/>
        <v>4</v>
      </c>
      <c r="B50" t="str">
        <f t="shared" si="1"/>
        <v>42</v>
      </c>
      <c r="C50" t="str">
        <f t="shared" si="2"/>
        <v>428</v>
      </c>
      <c r="D50" t="str">
        <f t="shared" si="3"/>
        <v>4281</v>
      </c>
      <c r="E50">
        <v>428100</v>
      </c>
      <c r="F50" t="s">
        <v>385</v>
      </c>
      <c r="G50" t="s">
        <v>64</v>
      </c>
      <c r="H50">
        <v>-7542536</v>
      </c>
      <c r="I50">
        <v>-13514386</v>
      </c>
      <c r="J50">
        <v>-38705023</v>
      </c>
      <c r="K50">
        <v>-58688513</v>
      </c>
    </row>
    <row r="51" spans="1:11">
      <c r="A51" t="str">
        <f t="shared" si="0"/>
        <v>4</v>
      </c>
      <c r="B51" t="str">
        <f t="shared" si="1"/>
        <v>43</v>
      </c>
      <c r="C51" t="str">
        <f t="shared" si="2"/>
        <v>431</v>
      </c>
      <c r="D51" t="str">
        <f t="shared" si="3"/>
        <v>4311</v>
      </c>
      <c r="E51">
        <v>431100</v>
      </c>
      <c r="F51" t="s">
        <v>386</v>
      </c>
      <c r="G51" t="s">
        <v>65</v>
      </c>
      <c r="H51">
        <v>-990150</v>
      </c>
      <c r="I51">
        <v>0</v>
      </c>
      <c r="J51">
        <v>0</v>
      </c>
      <c r="K51">
        <v>-750377</v>
      </c>
    </row>
    <row r="52" spans="1:11">
      <c r="A52" t="str">
        <f t="shared" si="0"/>
        <v>4</v>
      </c>
      <c r="B52" t="str">
        <f t="shared" si="1"/>
        <v>43</v>
      </c>
      <c r="C52" t="str">
        <f t="shared" si="2"/>
        <v>431</v>
      </c>
      <c r="D52" t="str">
        <f t="shared" si="3"/>
        <v>4312</v>
      </c>
      <c r="E52">
        <v>431200</v>
      </c>
      <c r="F52" t="s">
        <v>386</v>
      </c>
      <c r="G52" t="s">
        <v>66</v>
      </c>
      <c r="H52">
        <v>-516600</v>
      </c>
      <c r="I52">
        <v>0</v>
      </c>
      <c r="J52">
        <v>0</v>
      </c>
      <c r="K52">
        <v>-391500</v>
      </c>
    </row>
    <row r="53" spans="1:11">
      <c r="A53" t="str">
        <f t="shared" si="0"/>
        <v>4</v>
      </c>
      <c r="B53" t="str">
        <f t="shared" si="1"/>
        <v>43</v>
      </c>
      <c r="C53" t="str">
        <f t="shared" si="2"/>
        <v>431</v>
      </c>
      <c r="D53" t="str">
        <f t="shared" si="3"/>
        <v>4313</v>
      </c>
      <c r="E53">
        <v>431300</v>
      </c>
      <c r="F53" t="s">
        <v>386</v>
      </c>
      <c r="G53" t="s">
        <v>67</v>
      </c>
      <c r="H53">
        <v>-9084320</v>
      </c>
      <c r="I53">
        <v>0</v>
      </c>
      <c r="J53">
        <v>-55294687</v>
      </c>
      <c r="K53">
        <v>-48173044</v>
      </c>
    </row>
    <row r="54" spans="1:11">
      <c r="A54" t="str">
        <f t="shared" si="0"/>
        <v>4</v>
      </c>
      <c r="B54" t="str">
        <f t="shared" si="1"/>
        <v>43</v>
      </c>
      <c r="C54" t="str">
        <f t="shared" si="2"/>
        <v>431</v>
      </c>
      <c r="D54" t="str">
        <f t="shared" si="3"/>
        <v>4318</v>
      </c>
      <c r="E54">
        <v>431800</v>
      </c>
      <c r="F54" t="s">
        <v>386</v>
      </c>
      <c r="G54" t="s">
        <v>69</v>
      </c>
      <c r="H54">
        <v>0</v>
      </c>
      <c r="I54">
        <v>-2984709</v>
      </c>
      <c r="J54">
        <v>0</v>
      </c>
      <c r="K54">
        <v>-4219556</v>
      </c>
    </row>
    <row r="55" spans="1:11">
      <c r="A55" t="str">
        <f t="shared" si="0"/>
        <v>4</v>
      </c>
      <c r="B55" t="str">
        <f t="shared" si="1"/>
        <v>43</v>
      </c>
      <c r="C55" t="str">
        <f t="shared" si="2"/>
        <v>431</v>
      </c>
      <c r="D55" t="str">
        <f t="shared" si="3"/>
        <v>4318</v>
      </c>
      <c r="E55">
        <v>431800</v>
      </c>
      <c r="F55" t="s">
        <v>386</v>
      </c>
      <c r="G55" t="s">
        <v>70</v>
      </c>
      <c r="H55"/>
      <c r="I55"/>
      <c r="J55">
        <v>-192000</v>
      </c>
      <c r="K55"/>
    </row>
    <row r="56" spans="1:11">
      <c r="A56" t="str">
        <f t="shared" si="0"/>
        <v>4</v>
      </c>
      <c r="B56" t="str">
        <f t="shared" si="1"/>
        <v>43</v>
      </c>
      <c r="C56" t="str">
        <f t="shared" si="2"/>
        <v>433</v>
      </c>
      <c r="D56" t="str">
        <f t="shared" si="3"/>
        <v>4333</v>
      </c>
      <c r="E56">
        <v>433300</v>
      </c>
      <c r="F56" t="s">
        <v>386</v>
      </c>
      <c r="G56" t="s">
        <v>71</v>
      </c>
      <c r="H56"/>
      <c r="I56"/>
      <c r="J56"/>
      <c r="K56">
        <v>-1163500</v>
      </c>
    </row>
    <row r="57" spans="1:11">
      <c r="A57" t="str">
        <f t="shared" si="0"/>
        <v>4</v>
      </c>
      <c r="B57" t="str">
        <f t="shared" si="1"/>
        <v>43</v>
      </c>
      <c r="C57" t="str">
        <f t="shared" si="2"/>
        <v>438</v>
      </c>
      <c r="D57" t="str">
        <f t="shared" si="3"/>
        <v>4382</v>
      </c>
      <c r="E57">
        <v>438200</v>
      </c>
      <c r="F57" t="s">
        <v>386</v>
      </c>
      <c r="G57" t="s">
        <v>72</v>
      </c>
      <c r="H57">
        <v>-761901</v>
      </c>
      <c r="I57">
        <v>0</v>
      </c>
      <c r="J57">
        <v>-1083740</v>
      </c>
      <c r="K57">
        <v>-4519016</v>
      </c>
    </row>
    <row r="58" spans="1:11">
      <c r="A58" t="str">
        <f t="shared" si="0"/>
        <v>4</v>
      </c>
      <c r="B58" t="str">
        <f t="shared" si="1"/>
        <v>44</v>
      </c>
      <c r="C58" t="str">
        <f t="shared" si="2"/>
        <v>441</v>
      </c>
      <c r="D58" t="str">
        <f t="shared" si="3"/>
        <v>4410</v>
      </c>
      <c r="E58">
        <v>441000</v>
      </c>
      <c r="F58" t="s">
        <v>387</v>
      </c>
      <c r="G58" t="s">
        <v>74</v>
      </c>
      <c r="H58">
        <v>-17108500</v>
      </c>
      <c r="I58">
        <v>-9493000</v>
      </c>
      <c r="J58">
        <v>-24462516</v>
      </c>
      <c r="K58">
        <v>-32412250</v>
      </c>
    </row>
    <row r="59" spans="1:11">
      <c r="A59" t="str">
        <f t="shared" si="0"/>
        <v>4</v>
      </c>
      <c r="B59" t="str">
        <f t="shared" si="1"/>
        <v>44</v>
      </c>
      <c r="C59" t="str">
        <f t="shared" si="2"/>
        <v>442</v>
      </c>
      <c r="D59" t="str">
        <f t="shared" si="3"/>
        <v>4421</v>
      </c>
      <c r="E59">
        <v>442100</v>
      </c>
      <c r="F59" t="s">
        <v>387</v>
      </c>
      <c r="G59" t="s">
        <v>76</v>
      </c>
      <c r="H59"/>
      <c r="I59"/>
      <c r="J59"/>
      <c r="K59">
        <v>0</v>
      </c>
    </row>
    <row r="60" spans="1:11">
      <c r="A60" t="str">
        <f t="shared" si="0"/>
        <v>4</v>
      </c>
      <c r="B60" t="str">
        <f t="shared" si="1"/>
        <v>44</v>
      </c>
      <c r="C60" t="str">
        <f t="shared" si="2"/>
        <v>442</v>
      </c>
      <c r="D60" t="str">
        <f t="shared" si="3"/>
        <v>4421</v>
      </c>
      <c r="E60">
        <v>442110</v>
      </c>
      <c r="F60" t="s">
        <v>387</v>
      </c>
      <c r="G60" t="s">
        <v>77</v>
      </c>
      <c r="H60">
        <v>-2226784</v>
      </c>
      <c r="I60">
        <v>-381120</v>
      </c>
      <c r="J60">
        <v>-381120</v>
      </c>
      <c r="K60">
        <v>0</v>
      </c>
    </row>
    <row r="61" spans="1:11">
      <c r="A61" t="str">
        <f t="shared" si="0"/>
        <v>4</v>
      </c>
      <c r="B61" t="str">
        <f t="shared" si="1"/>
        <v>44</v>
      </c>
      <c r="C61" t="str">
        <f t="shared" si="2"/>
        <v>442</v>
      </c>
      <c r="D61" t="str">
        <f t="shared" si="3"/>
        <v>4421</v>
      </c>
      <c r="E61">
        <v>442120</v>
      </c>
      <c r="F61" t="s">
        <v>387</v>
      </c>
      <c r="G61" t="s">
        <v>78</v>
      </c>
      <c r="H61">
        <v>-959467</v>
      </c>
      <c r="I61">
        <v>-127043</v>
      </c>
      <c r="J61">
        <v>-1689308</v>
      </c>
      <c r="K61">
        <v>-1375678</v>
      </c>
    </row>
    <row r="62" spans="1:11">
      <c r="A62" t="str">
        <f t="shared" si="0"/>
        <v>4</v>
      </c>
      <c r="B62" t="str">
        <f t="shared" si="1"/>
        <v>44</v>
      </c>
      <c r="C62" t="str">
        <f t="shared" si="2"/>
        <v>442</v>
      </c>
      <c r="D62" t="str">
        <f t="shared" si="3"/>
        <v>4421</v>
      </c>
      <c r="E62">
        <v>442130</v>
      </c>
      <c r="F62" t="s">
        <v>387</v>
      </c>
      <c r="G62" t="s">
        <v>79</v>
      </c>
      <c r="H62">
        <v>-1765002</v>
      </c>
      <c r="I62">
        <v>-109254</v>
      </c>
      <c r="J62">
        <v>-4796050</v>
      </c>
      <c r="K62">
        <v>-1860405</v>
      </c>
    </row>
    <row r="63" spans="1:11">
      <c r="A63" t="str">
        <f t="shared" si="0"/>
        <v>4</v>
      </c>
      <c r="B63" t="str">
        <f t="shared" si="1"/>
        <v>44</v>
      </c>
      <c r="C63" t="str">
        <f t="shared" si="2"/>
        <v>442</v>
      </c>
      <c r="D63" t="str">
        <f t="shared" si="3"/>
        <v>4421</v>
      </c>
      <c r="E63">
        <v>442140</v>
      </c>
      <c r="F63" t="s">
        <v>387</v>
      </c>
      <c r="G63" t="s">
        <v>80</v>
      </c>
      <c r="H63">
        <v>-976093</v>
      </c>
      <c r="I63">
        <v>0</v>
      </c>
      <c r="J63">
        <v>0</v>
      </c>
      <c r="K63">
        <v>-8475268</v>
      </c>
    </row>
    <row r="64" spans="1:11">
      <c r="A64" t="str">
        <f t="shared" si="0"/>
        <v>4</v>
      </c>
      <c r="B64" t="str">
        <f t="shared" si="1"/>
        <v>44</v>
      </c>
      <c r="C64" t="str">
        <f t="shared" si="2"/>
        <v>442</v>
      </c>
      <c r="D64" t="str">
        <f t="shared" si="3"/>
        <v>4428</v>
      </c>
      <c r="E64">
        <v>442800</v>
      </c>
      <c r="F64" t="s">
        <v>387</v>
      </c>
      <c r="G64" t="s">
        <v>81</v>
      </c>
      <c r="H64"/>
      <c r="I64">
        <v>0</v>
      </c>
      <c r="J64">
        <v>-441731</v>
      </c>
      <c r="K64">
        <v>0</v>
      </c>
    </row>
    <row r="65" spans="1:11">
      <c r="A65" t="str">
        <f t="shared" si="0"/>
        <v>4</v>
      </c>
      <c r="B65" t="str">
        <f t="shared" si="1"/>
        <v>44</v>
      </c>
      <c r="C65" t="str">
        <f t="shared" si="2"/>
        <v>442</v>
      </c>
      <c r="D65" t="str">
        <f t="shared" si="3"/>
        <v>4428</v>
      </c>
      <c r="E65">
        <v>442801</v>
      </c>
      <c r="F65" t="s">
        <v>387</v>
      </c>
      <c r="G65" t="s">
        <v>82</v>
      </c>
      <c r="H65"/>
      <c r="I65"/>
      <c r="J65"/>
      <c r="K65">
        <v>-220865</v>
      </c>
    </row>
    <row r="66" spans="1:11">
      <c r="A66" t="str">
        <f t="shared" si="0"/>
        <v>4</v>
      </c>
      <c r="B66" t="str">
        <f t="shared" si="1"/>
        <v>44</v>
      </c>
      <c r="C66" t="str">
        <f t="shared" si="2"/>
        <v>443</v>
      </c>
      <c r="D66" t="str">
        <f t="shared" si="3"/>
        <v>4431</v>
      </c>
      <c r="E66">
        <v>443100</v>
      </c>
      <c r="F66" t="s">
        <v>387</v>
      </c>
      <c r="G66" t="s">
        <v>84</v>
      </c>
      <c r="H66">
        <v>-62705700</v>
      </c>
      <c r="I66">
        <v>-116093982</v>
      </c>
      <c r="J66">
        <v>-42430786</v>
      </c>
      <c r="K66">
        <v>-226164548</v>
      </c>
    </row>
    <row r="67" spans="1:11">
      <c r="A67" t="str">
        <f t="shared" si="0"/>
        <v>4</v>
      </c>
      <c r="B67" t="str">
        <f t="shared" si="1"/>
        <v>44</v>
      </c>
      <c r="C67" t="str">
        <f t="shared" si="2"/>
        <v>443</v>
      </c>
      <c r="D67" t="str">
        <f t="shared" si="3"/>
        <v>4432</v>
      </c>
      <c r="E67">
        <v>443200</v>
      </c>
      <c r="F67" t="s">
        <v>387</v>
      </c>
      <c r="G67" t="s">
        <v>86</v>
      </c>
      <c r="H67">
        <v>-166248997</v>
      </c>
      <c r="I67">
        <v>-74683399</v>
      </c>
      <c r="J67">
        <v>-244644746</v>
      </c>
      <c r="K67">
        <v>-411666595</v>
      </c>
    </row>
    <row r="68" spans="1:11">
      <c r="A68" t="str">
        <f t="shared" ref="A68:A131" si="4">LEFT(B68,1)</f>
        <v>4</v>
      </c>
      <c r="B68" t="str">
        <f t="shared" ref="B68:B131" si="5">LEFT(C68,2)</f>
        <v>44</v>
      </c>
      <c r="C68" t="str">
        <f t="shared" ref="C68:C131" si="6">LEFT(D68,3)</f>
        <v>443</v>
      </c>
      <c r="D68" t="str">
        <f t="shared" si="3"/>
        <v>4435</v>
      </c>
      <c r="E68">
        <v>443500</v>
      </c>
      <c r="F68" t="s">
        <v>387</v>
      </c>
      <c r="G68" t="s">
        <v>87</v>
      </c>
      <c r="H68"/>
      <c r="I68"/>
      <c r="J68"/>
      <c r="K68">
        <v>-7965071</v>
      </c>
    </row>
    <row r="69" spans="1:11">
      <c r="A69" t="str">
        <f t="shared" si="4"/>
        <v>4</v>
      </c>
      <c r="B69" t="str">
        <f t="shared" si="5"/>
        <v>44</v>
      </c>
      <c r="C69" t="str">
        <f t="shared" si="6"/>
        <v>444</v>
      </c>
      <c r="D69" t="str">
        <f t="shared" ref="D69:D132" si="7">LEFT(E69,4)</f>
        <v>4441</v>
      </c>
      <c r="E69">
        <v>444100</v>
      </c>
      <c r="F69" t="s">
        <v>387</v>
      </c>
      <c r="G69" t="s">
        <v>89</v>
      </c>
      <c r="H69">
        <v>-37801893</v>
      </c>
      <c r="I69">
        <v>-37840921</v>
      </c>
      <c r="J69">
        <v>-22148427</v>
      </c>
      <c r="K69">
        <v>-32001006</v>
      </c>
    </row>
    <row r="70" spans="1:11">
      <c r="A70" t="str">
        <f t="shared" si="4"/>
        <v>4</v>
      </c>
      <c r="B70" t="str">
        <f t="shared" si="5"/>
        <v>44</v>
      </c>
      <c r="C70" t="str">
        <f t="shared" si="6"/>
        <v>444</v>
      </c>
      <c r="D70" t="str">
        <f t="shared" si="7"/>
        <v>4449</v>
      </c>
      <c r="E70">
        <v>444900</v>
      </c>
      <c r="F70" t="s">
        <v>387</v>
      </c>
      <c r="G70" t="s">
        <v>91</v>
      </c>
      <c r="H70">
        <v>0</v>
      </c>
      <c r="I70">
        <v>622413</v>
      </c>
      <c r="J70">
        <v>0</v>
      </c>
      <c r="K70">
        <v>0</v>
      </c>
    </row>
    <row r="71" spans="1:11">
      <c r="A71" t="str">
        <f t="shared" si="4"/>
        <v>4</v>
      </c>
      <c r="B71" t="str">
        <f t="shared" si="5"/>
        <v>44</v>
      </c>
      <c r="C71" t="str">
        <f t="shared" si="6"/>
        <v>445</v>
      </c>
      <c r="D71" t="str">
        <f t="shared" si="7"/>
        <v>4451</v>
      </c>
      <c r="E71">
        <v>445100</v>
      </c>
      <c r="F71" t="s">
        <v>387</v>
      </c>
      <c r="G71" t="s">
        <v>93</v>
      </c>
      <c r="H71">
        <v>1469143</v>
      </c>
      <c r="I71">
        <v>2121473</v>
      </c>
      <c r="J71">
        <v>2121473</v>
      </c>
      <c r="K71">
        <v>0</v>
      </c>
    </row>
    <row r="72" spans="1:11">
      <c r="A72" t="str">
        <f t="shared" si="4"/>
        <v>4</v>
      </c>
      <c r="B72" t="str">
        <f t="shared" si="5"/>
        <v>44</v>
      </c>
      <c r="C72" t="str">
        <f t="shared" si="6"/>
        <v>445</v>
      </c>
      <c r="D72" t="str">
        <f t="shared" si="7"/>
        <v>4452</v>
      </c>
      <c r="E72">
        <v>445200</v>
      </c>
      <c r="F72" t="s">
        <v>387</v>
      </c>
      <c r="G72" t="s">
        <v>95</v>
      </c>
      <c r="H72">
        <v>43307300</v>
      </c>
      <c r="I72">
        <v>-2136767</v>
      </c>
      <c r="J72">
        <v>-1186161</v>
      </c>
      <c r="K72">
        <v>118797</v>
      </c>
    </row>
    <row r="73" spans="1:11">
      <c r="A73" t="str">
        <f t="shared" si="4"/>
        <v>4</v>
      </c>
      <c r="B73" t="str">
        <f t="shared" si="5"/>
        <v>44</v>
      </c>
      <c r="C73" t="str">
        <f t="shared" si="6"/>
        <v>445</v>
      </c>
      <c r="D73" t="str">
        <f t="shared" si="7"/>
        <v>4453</v>
      </c>
      <c r="E73">
        <v>445300</v>
      </c>
      <c r="F73" t="s">
        <v>387</v>
      </c>
      <c r="G73" t="s">
        <v>96</v>
      </c>
      <c r="H73">
        <v>15063</v>
      </c>
      <c r="I73">
        <v>0</v>
      </c>
      <c r="J73">
        <v>0</v>
      </c>
      <c r="K73">
        <v>0</v>
      </c>
    </row>
    <row r="74" spans="1:11">
      <c r="A74" t="str">
        <f t="shared" si="4"/>
        <v>4</v>
      </c>
      <c r="B74" t="str">
        <f t="shared" si="5"/>
        <v>44</v>
      </c>
      <c r="C74" t="str">
        <f t="shared" si="6"/>
        <v>445</v>
      </c>
      <c r="D74" t="str">
        <f t="shared" si="7"/>
        <v>4454</v>
      </c>
      <c r="E74">
        <v>445400</v>
      </c>
      <c r="F74" t="s">
        <v>387</v>
      </c>
      <c r="G74" t="s">
        <v>98</v>
      </c>
      <c r="H74">
        <v>3822360</v>
      </c>
      <c r="I74">
        <v>26312598</v>
      </c>
      <c r="J74">
        <v>29623322</v>
      </c>
      <c r="K74">
        <v>1667795</v>
      </c>
    </row>
    <row r="75" spans="1:11">
      <c r="A75" t="str">
        <f t="shared" si="4"/>
        <v>4</v>
      </c>
      <c r="B75" t="str">
        <f t="shared" si="5"/>
        <v>44</v>
      </c>
      <c r="C75" t="str">
        <f t="shared" si="6"/>
        <v>445</v>
      </c>
      <c r="D75" t="str">
        <f t="shared" si="7"/>
        <v>4455</v>
      </c>
      <c r="E75">
        <v>445500</v>
      </c>
      <c r="F75" t="s">
        <v>387</v>
      </c>
      <c r="G75" t="s">
        <v>99</v>
      </c>
      <c r="H75">
        <v>274577</v>
      </c>
      <c r="I75">
        <v>274577</v>
      </c>
      <c r="J75">
        <v>322285</v>
      </c>
      <c r="K75">
        <v>546303</v>
      </c>
    </row>
    <row r="76" spans="1:11">
      <c r="A76" t="str">
        <f t="shared" si="4"/>
        <v>4</v>
      </c>
      <c r="B76" t="str">
        <f t="shared" si="5"/>
        <v>44</v>
      </c>
      <c r="C76" t="str">
        <f t="shared" si="6"/>
        <v>446</v>
      </c>
      <c r="D76" t="str">
        <f t="shared" si="7"/>
        <v>4460</v>
      </c>
      <c r="E76">
        <v>446000</v>
      </c>
      <c r="F76" t="s">
        <v>387</v>
      </c>
      <c r="G76" t="s">
        <v>100</v>
      </c>
      <c r="H76">
        <v>19721</v>
      </c>
      <c r="I76">
        <v>-168971</v>
      </c>
      <c r="J76">
        <v>-1233923</v>
      </c>
      <c r="K76">
        <v>-1631531</v>
      </c>
    </row>
    <row r="77" spans="1:11">
      <c r="A77" t="str">
        <f t="shared" si="4"/>
        <v>4</v>
      </c>
      <c r="B77" t="str">
        <f t="shared" si="5"/>
        <v>44</v>
      </c>
      <c r="C77" t="str">
        <f t="shared" si="6"/>
        <v>447</v>
      </c>
      <c r="D77" t="str">
        <f t="shared" si="7"/>
        <v>4472</v>
      </c>
      <c r="E77">
        <v>447200</v>
      </c>
      <c r="F77" t="s">
        <v>387</v>
      </c>
      <c r="G77" t="s">
        <v>102</v>
      </c>
      <c r="H77">
        <v>-29191412</v>
      </c>
      <c r="I77">
        <v>-9735603</v>
      </c>
      <c r="J77">
        <v>-97754318</v>
      </c>
      <c r="K77">
        <v>-80201933</v>
      </c>
    </row>
    <row r="78" spans="1:11">
      <c r="A78" t="str">
        <f t="shared" si="4"/>
        <v>4</v>
      </c>
      <c r="B78" t="str">
        <f t="shared" si="5"/>
        <v>44</v>
      </c>
      <c r="C78" t="str">
        <f t="shared" si="6"/>
        <v>447</v>
      </c>
      <c r="D78" t="str">
        <f t="shared" si="7"/>
        <v>4478</v>
      </c>
      <c r="E78">
        <v>447800</v>
      </c>
      <c r="F78" t="s">
        <v>387</v>
      </c>
      <c r="G78" t="s">
        <v>104</v>
      </c>
      <c r="H78">
        <v>-10286455</v>
      </c>
      <c r="I78">
        <v>-20879733</v>
      </c>
      <c r="J78">
        <v>-34780704</v>
      </c>
      <c r="K78">
        <v>-47998692</v>
      </c>
    </row>
    <row r="79" spans="1:11">
      <c r="A79" t="str">
        <f t="shared" si="4"/>
        <v>4</v>
      </c>
      <c r="B79" t="str">
        <f t="shared" si="5"/>
        <v>44</v>
      </c>
      <c r="C79" t="str">
        <f t="shared" si="6"/>
        <v>447</v>
      </c>
      <c r="D79" t="str">
        <f t="shared" si="7"/>
        <v>4478</v>
      </c>
      <c r="E79">
        <v>447801</v>
      </c>
      <c r="F79" t="s">
        <v>387</v>
      </c>
      <c r="G79" t="s">
        <v>105</v>
      </c>
      <c r="H79"/>
      <c r="I79"/>
      <c r="J79"/>
      <c r="K79">
        <v>-221390</v>
      </c>
    </row>
    <row r="80" spans="1:11">
      <c r="A80" t="str">
        <f t="shared" si="4"/>
        <v>4</v>
      </c>
      <c r="B80" t="str">
        <f t="shared" si="5"/>
        <v>44</v>
      </c>
      <c r="C80" t="str">
        <f t="shared" si="6"/>
        <v>447</v>
      </c>
      <c r="D80" t="str">
        <f t="shared" si="7"/>
        <v>4478</v>
      </c>
      <c r="E80">
        <v>447810</v>
      </c>
      <c r="F80" t="s">
        <v>387</v>
      </c>
      <c r="G80" t="s">
        <v>107</v>
      </c>
      <c r="H80">
        <v>-1632000</v>
      </c>
      <c r="I80">
        <v>-1088000</v>
      </c>
      <c r="J80">
        <v>0</v>
      </c>
      <c r="K80">
        <v>0</v>
      </c>
    </row>
    <row r="81" spans="1:11">
      <c r="A81" t="str">
        <f t="shared" si="4"/>
        <v>4</v>
      </c>
      <c r="B81" t="str">
        <f t="shared" si="5"/>
        <v>44</v>
      </c>
      <c r="C81" t="str">
        <f t="shared" si="6"/>
        <v>448</v>
      </c>
      <c r="D81" t="str">
        <f t="shared" si="7"/>
        <v>4486</v>
      </c>
      <c r="E81">
        <v>448600</v>
      </c>
      <c r="F81" t="s">
        <v>387</v>
      </c>
      <c r="G81" t="s">
        <v>109</v>
      </c>
      <c r="H81">
        <v>-211191</v>
      </c>
      <c r="I81">
        <v>0</v>
      </c>
      <c r="J81">
        <v>-2980286</v>
      </c>
      <c r="K81">
        <v>-1643278</v>
      </c>
    </row>
    <row r="82" spans="1:11">
      <c r="A82" t="str">
        <f t="shared" si="4"/>
        <v>4</v>
      </c>
      <c r="B82" t="str">
        <f t="shared" si="5"/>
        <v>44</v>
      </c>
      <c r="C82" t="str">
        <f t="shared" si="6"/>
        <v>449</v>
      </c>
      <c r="D82" t="str">
        <f t="shared" si="7"/>
        <v>4492</v>
      </c>
      <c r="E82">
        <v>449200</v>
      </c>
      <c r="F82" t="s">
        <v>387</v>
      </c>
      <c r="G82" t="s">
        <v>111</v>
      </c>
      <c r="H82">
        <v>0</v>
      </c>
      <c r="I82">
        <v>0</v>
      </c>
      <c r="J82">
        <v>0</v>
      </c>
      <c r="K82">
        <v>0</v>
      </c>
    </row>
    <row r="83" spans="1:11">
      <c r="A83" t="str">
        <f t="shared" si="4"/>
        <v>4</v>
      </c>
      <c r="B83" t="str">
        <f t="shared" si="5"/>
        <v>46</v>
      </c>
      <c r="C83" t="str">
        <f t="shared" si="6"/>
        <v>461</v>
      </c>
      <c r="D83" t="str">
        <f t="shared" si="7"/>
        <v>4612</v>
      </c>
      <c r="E83">
        <v>461200</v>
      </c>
      <c r="F83" t="s">
        <v>388</v>
      </c>
      <c r="G83" t="s">
        <v>112</v>
      </c>
      <c r="H83">
        <v>0</v>
      </c>
      <c r="I83">
        <v>0</v>
      </c>
      <c r="J83">
        <v>0</v>
      </c>
      <c r="K83">
        <v>0</v>
      </c>
    </row>
    <row r="84" spans="1:11">
      <c r="A84" t="str">
        <f t="shared" si="4"/>
        <v>4</v>
      </c>
      <c r="B84" t="str">
        <f t="shared" si="5"/>
        <v>46</v>
      </c>
      <c r="C84" t="str">
        <f t="shared" si="6"/>
        <v>462</v>
      </c>
      <c r="D84" t="str">
        <f t="shared" si="7"/>
        <v>4621</v>
      </c>
      <c r="E84">
        <v>462110</v>
      </c>
      <c r="F84" t="s">
        <v>388</v>
      </c>
      <c r="G84" t="s">
        <v>114</v>
      </c>
      <c r="H84">
        <v>0</v>
      </c>
      <c r="I84">
        <v>0</v>
      </c>
      <c r="J84">
        <v>0</v>
      </c>
      <c r="K84">
        <v>85000000</v>
      </c>
    </row>
    <row r="85" spans="1:11">
      <c r="A85" t="str">
        <f t="shared" si="4"/>
        <v>4</v>
      </c>
      <c r="B85" t="str">
        <f t="shared" si="5"/>
        <v>46</v>
      </c>
      <c r="C85" t="str">
        <f t="shared" si="6"/>
        <v>462</v>
      </c>
      <c r="D85" t="str">
        <f t="shared" si="7"/>
        <v>4621</v>
      </c>
      <c r="E85">
        <v>462120</v>
      </c>
      <c r="F85" t="s">
        <v>388</v>
      </c>
      <c r="G85" t="s">
        <v>115</v>
      </c>
      <c r="H85"/>
      <c r="I85"/>
      <c r="J85"/>
      <c r="K85">
        <v>15000000</v>
      </c>
    </row>
    <row r="86" spans="1:11">
      <c r="A86" t="str">
        <f t="shared" si="4"/>
        <v>4</v>
      </c>
      <c r="B86" t="str">
        <f t="shared" si="5"/>
        <v>47</v>
      </c>
      <c r="C86" t="str">
        <f t="shared" si="6"/>
        <v>471</v>
      </c>
      <c r="D86" t="str">
        <f t="shared" si="7"/>
        <v>4711</v>
      </c>
      <c r="E86">
        <v>471100</v>
      </c>
      <c r="F86" t="s">
        <v>388</v>
      </c>
      <c r="G86" t="s">
        <v>117</v>
      </c>
      <c r="H86"/>
      <c r="I86"/>
      <c r="J86"/>
      <c r="K86">
        <v>19800000</v>
      </c>
    </row>
    <row r="87" spans="1:11">
      <c r="A87" t="str">
        <f t="shared" si="4"/>
        <v>4</v>
      </c>
      <c r="B87" t="str">
        <f t="shared" si="5"/>
        <v>47</v>
      </c>
      <c r="C87" t="str">
        <f t="shared" si="6"/>
        <v>471</v>
      </c>
      <c r="D87" t="str">
        <f t="shared" si="7"/>
        <v>4711</v>
      </c>
      <c r="E87">
        <v>471100</v>
      </c>
      <c r="F87" t="s">
        <v>388</v>
      </c>
      <c r="G87" t="s">
        <v>118</v>
      </c>
      <c r="H87">
        <v>0</v>
      </c>
      <c r="I87">
        <v>0</v>
      </c>
      <c r="J87">
        <v>80810812</v>
      </c>
      <c r="K87" s="18">
        <v>81810812</v>
      </c>
    </row>
    <row r="88" spans="1:11">
      <c r="A88" t="str">
        <f t="shared" si="4"/>
        <v>4</v>
      </c>
      <c r="B88" t="str">
        <f t="shared" si="5"/>
        <v>47</v>
      </c>
      <c r="C88" t="str">
        <f t="shared" si="6"/>
        <v>471</v>
      </c>
      <c r="D88" t="str">
        <f t="shared" si="7"/>
        <v>4711</v>
      </c>
      <c r="E88">
        <v>471102</v>
      </c>
      <c r="F88" t="s">
        <v>388</v>
      </c>
      <c r="G88" t="s">
        <v>119</v>
      </c>
      <c r="H88"/>
      <c r="I88"/>
      <c r="J88"/>
      <c r="K88">
        <v>23681758</v>
      </c>
    </row>
    <row r="89" spans="1:11">
      <c r="A89" t="str">
        <f t="shared" si="4"/>
        <v>4</v>
      </c>
      <c r="B89" t="str">
        <f t="shared" si="5"/>
        <v>47</v>
      </c>
      <c r="C89" t="str">
        <f t="shared" si="6"/>
        <v>471</v>
      </c>
      <c r="D89" t="str">
        <f t="shared" si="7"/>
        <v>4711</v>
      </c>
      <c r="E89">
        <v>471103</v>
      </c>
      <c r="F89" t="s">
        <v>388</v>
      </c>
      <c r="G89" t="s">
        <v>120</v>
      </c>
      <c r="H89">
        <v>0</v>
      </c>
      <c r="I89">
        <v>17000000</v>
      </c>
      <c r="J89">
        <v>0</v>
      </c>
      <c r="K89">
        <v>0</v>
      </c>
    </row>
    <row r="90" spans="1:11">
      <c r="A90" t="str">
        <f t="shared" si="4"/>
        <v>4</v>
      </c>
      <c r="B90" t="str">
        <f t="shared" si="5"/>
        <v>47</v>
      </c>
      <c r="C90" t="str">
        <f t="shared" si="6"/>
        <v>471</v>
      </c>
      <c r="D90" t="str">
        <f t="shared" si="7"/>
        <v>4711</v>
      </c>
      <c r="E90">
        <v>471104</v>
      </c>
      <c r="F90" t="s">
        <v>388</v>
      </c>
      <c r="G90" t="s">
        <v>122</v>
      </c>
      <c r="H90"/>
      <c r="I90"/>
      <c r="J90"/>
      <c r="K90">
        <v>9604343</v>
      </c>
    </row>
    <row r="91" spans="1:11">
      <c r="A91" t="str">
        <f t="shared" si="4"/>
        <v>4</v>
      </c>
      <c r="B91" t="str">
        <f t="shared" si="5"/>
        <v>47</v>
      </c>
      <c r="C91" t="str">
        <f t="shared" si="6"/>
        <v>471</v>
      </c>
      <c r="D91" t="str">
        <f t="shared" si="7"/>
        <v>4711</v>
      </c>
      <c r="E91">
        <v>471105</v>
      </c>
      <c r="F91" t="s">
        <v>388</v>
      </c>
      <c r="G91" t="s">
        <v>123</v>
      </c>
      <c r="H91"/>
      <c r="I91"/>
      <c r="J91"/>
      <c r="K91">
        <v>10914534</v>
      </c>
    </row>
    <row r="92" spans="1:11">
      <c r="A92" t="str">
        <f t="shared" si="4"/>
        <v>4</v>
      </c>
      <c r="B92" t="str">
        <f t="shared" si="5"/>
        <v>47</v>
      </c>
      <c r="C92" t="str">
        <f t="shared" si="6"/>
        <v>471</v>
      </c>
      <c r="D92" t="str">
        <f t="shared" si="7"/>
        <v>4711</v>
      </c>
      <c r="E92">
        <v>471106</v>
      </c>
      <c r="F92" t="s">
        <v>388</v>
      </c>
      <c r="G92" t="s">
        <v>124</v>
      </c>
      <c r="H92"/>
      <c r="I92"/>
      <c r="J92"/>
      <c r="K92">
        <v>38484016</v>
      </c>
    </row>
    <row r="93" spans="1:11">
      <c r="A93" t="str">
        <f t="shared" si="4"/>
        <v>4</v>
      </c>
      <c r="B93" t="str">
        <f t="shared" si="5"/>
        <v>47</v>
      </c>
      <c r="C93" t="str">
        <f t="shared" si="6"/>
        <v>471</v>
      </c>
      <c r="D93" t="str">
        <f t="shared" si="7"/>
        <v>4711</v>
      </c>
      <c r="E93">
        <v>471107</v>
      </c>
      <c r="F93" t="s">
        <v>388</v>
      </c>
      <c r="G93" t="s">
        <v>125</v>
      </c>
      <c r="H93"/>
      <c r="I93"/>
      <c r="J93"/>
      <c r="K93">
        <v>27991742</v>
      </c>
    </row>
    <row r="94" spans="1:11">
      <c r="A94" t="str">
        <f t="shared" si="4"/>
        <v>4</v>
      </c>
      <c r="B94" t="str">
        <f t="shared" si="5"/>
        <v>47</v>
      </c>
      <c r="C94" t="str">
        <f t="shared" si="6"/>
        <v>471</v>
      </c>
      <c r="D94" t="str">
        <f t="shared" si="7"/>
        <v>4712</v>
      </c>
      <c r="E94">
        <v>471200</v>
      </c>
      <c r="F94" t="s">
        <v>388</v>
      </c>
      <c r="G94" t="s">
        <v>127</v>
      </c>
      <c r="H94">
        <v>-174193466</v>
      </c>
      <c r="I94">
        <v>0</v>
      </c>
      <c r="J94">
        <v>0</v>
      </c>
      <c r="K94">
        <v>0</v>
      </c>
    </row>
    <row r="95" spans="1:11">
      <c r="A95" t="str">
        <f t="shared" si="4"/>
        <v>4</v>
      </c>
      <c r="B95" t="str">
        <f t="shared" si="5"/>
        <v>47</v>
      </c>
      <c r="C95" t="str">
        <f t="shared" si="6"/>
        <v>476</v>
      </c>
      <c r="D95" t="str">
        <f t="shared" si="7"/>
        <v>4760</v>
      </c>
      <c r="E95">
        <v>476000</v>
      </c>
      <c r="F95" t="s">
        <v>388</v>
      </c>
      <c r="G95" t="s">
        <v>129</v>
      </c>
      <c r="H95">
        <v>12556000</v>
      </c>
      <c r="I95">
        <v>32028895</v>
      </c>
      <c r="J95">
        <v>21308043</v>
      </c>
      <c r="K95">
        <v>32719383</v>
      </c>
    </row>
    <row r="96" spans="1:11">
      <c r="A96" t="str">
        <f t="shared" si="4"/>
        <v>4</v>
      </c>
      <c r="B96" t="str">
        <f t="shared" si="5"/>
        <v>47</v>
      </c>
      <c r="C96" t="str">
        <f t="shared" si="6"/>
        <v>477</v>
      </c>
      <c r="D96" t="str">
        <f t="shared" si="7"/>
        <v>4770</v>
      </c>
      <c r="E96">
        <v>477000</v>
      </c>
      <c r="F96" t="s">
        <v>388</v>
      </c>
      <c r="G96" t="s">
        <v>131</v>
      </c>
      <c r="H96">
        <v>0</v>
      </c>
      <c r="I96">
        <v>0</v>
      </c>
      <c r="J96">
        <v>0</v>
      </c>
      <c r="K96">
        <v>0</v>
      </c>
    </row>
    <row r="97" spans="1:11">
      <c r="A97" t="str">
        <f t="shared" si="4"/>
        <v>5</v>
      </c>
      <c r="B97" t="str">
        <f t="shared" si="5"/>
        <v>51</v>
      </c>
      <c r="C97" t="str">
        <f t="shared" si="6"/>
        <v>510</v>
      </c>
      <c r="D97" t="str">
        <f t="shared" si="7"/>
        <v>5100</v>
      </c>
      <c r="E97">
        <v>510002</v>
      </c>
      <c r="F97" t="s">
        <v>389</v>
      </c>
      <c r="G97" t="s">
        <v>132</v>
      </c>
      <c r="H97">
        <v>2700</v>
      </c>
      <c r="I97">
        <v>2700</v>
      </c>
      <c r="J97">
        <v>2700</v>
      </c>
      <c r="K97">
        <v>0</v>
      </c>
    </row>
    <row r="98" spans="1:11">
      <c r="A98" t="str">
        <f t="shared" si="4"/>
        <v>5</v>
      </c>
      <c r="B98" t="str">
        <f t="shared" si="5"/>
        <v>51</v>
      </c>
      <c r="C98" t="str">
        <f t="shared" si="6"/>
        <v>511</v>
      </c>
      <c r="D98" t="str">
        <f t="shared" si="7"/>
        <v>5110</v>
      </c>
      <c r="E98">
        <v>511000</v>
      </c>
      <c r="F98" t="s">
        <v>389</v>
      </c>
      <c r="G98" t="s">
        <v>133</v>
      </c>
      <c r="H98"/>
      <c r="I98"/>
      <c r="J98"/>
      <c r="K98">
        <v>0</v>
      </c>
    </row>
    <row r="99" spans="1:11">
      <c r="A99" t="str">
        <f t="shared" si="4"/>
        <v>5</v>
      </c>
      <c r="B99" t="str">
        <f t="shared" si="5"/>
        <v>51</v>
      </c>
      <c r="C99" t="str">
        <f t="shared" si="6"/>
        <v>512</v>
      </c>
      <c r="D99" t="str">
        <f t="shared" si="7"/>
        <v>5120</v>
      </c>
      <c r="E99">
        <v>512000</v>
      </c>
      <c r="F99" t="s">
        <v>389</v>
      </c>
      <c r="G99" t="s">
        <v>134</v>
      </c>
      <c r="H99"/>
      <c r="I99"/>
      <c r="J99"/>
      <c r="K99">
        <v>0</v>
      </c>
    </row>
    <row r="100" spans="1:11">
      <c r="A100" t="str">
        <f t="shared" si="4"/>
        <v>5</v>
      </c>
      <c r="B100" t="str">
        <f t="shared" si="5"/>
        <v>52</v>
      </c>
      <c r="C100" t="str">
        <f t="shared" si="6"/>
        <v>520</v>
      </c>
      <c r="D100" t="str">
        <f t="shared" si="7"/>
        <v>5200</v>
      </c>
      <c r="E100">
        <v>520001</v>
      </c>
      <c r="F100" t="s">
        <v>389</v>
      </c>
      <c r="G100" t="s">
        <v>136</v>
      </c>
      <c r="H100"/>
      <c r="I100"/>
      <c r="J100">
        <v>0</v>
      </c>
      <c r="K100">
        <v>0</v>
      </c>
    </row>
    <row r="101" spans="1:11">
      <c r="A101" t="str">
        <f t="shared" si="4"/>
        <v>5</v>
      </c>
      <c r="B101" t="str">
        <f t="shared" si="5"/>
        <v>52</v>
      </c>
      <c r="C101" t="str">
        <f t="shared" si="6"/>
        <v>520</v>
      </c>
      <c r="D101" t="str">
        <f t="shared" si="7"/>
        <v>5200</v>
      </c>
      <c r="E101">
        <v>520002</v>
      </c>
      <c r="F101" t="s">
        <v>389</v>
      </c>
      <c r="G101" t="s">
        <v>132</v>
      </c>
      <c r="H101"/>
      <c r="I101"/>
      <c r="J101">
        <v>0</v>
      </c>
      <c r="K101">
        <v>0</v>
      </c>
    </row>
    <row r="102" spans="1:11">
      <c r="A102" t="str">
        <f t="shared" si="4"/>
        <v>5</v>
      </c>
      <c r="B102" t="str">
        <f t="shared" si="5"/>
        <v>52</v>
      </c>
      <c r="C102" t="str">
        <f t="shared" si="6"/>
        <v>520</v>
      </c>
      <c r="D102" t="str">
        <f t="shared" si="7"/>
        <v>5200</v>
      </c>
      <c r="E102">
        <v>520003</v>
      </c>
      <c r="F102" t="s">
        <v>389</v>
      </c>
      <c r="G102" t="s">
        <v>138</v>
      </c>
      <c r="H102"/>
      <c r="I102"/>
      <c r="J102"/>
      <c r="K102">
        <v>0</v>
      </c>
    </row>
    <row r="103" spans="1:11">
      <c r="A103" t="str">
        <f t="shared" si="4"/>
        <v>5</v>
      </c>
      <c r="B103" t="str">
        <f t="shared" si="5"/>
        <v>52</v>
      </c>
      <c r="C103" t="str">
        <f t="shared" si="6"/>
        <v>520</v>
      </c>
      <c r="D103" t="str">
        <f t="shared" si="7"/>
        <v>5200</v>
      </c>
      <c r="E103">
        <v>520004</v>
      </c>
      <c r="F103" t="s">
        <v>389</v>
      </c>
      <c r="G103" t="s">
        <v>132</v>
      </c>
      <c r="H103"/>
      <c r="I103"/>
      <c r="J103"/>
      <c r="K103">
        <v>0</v>
      </c>
    </row>
    <row r="104" spans="1:11">
      <c r="A104" t="str">
        <f t="shared" si="4"/>
        <v>5</v>
      </c>
      <c r="B104" t="str">
        <f t="shared" si="5"/>
        <v>52</v>
      </c>
      <c r="C104" t="str">
        <f t="shared" si="6"/>
        <v>520</v>
      </c>
      <c r="D104" t="str">
        <f t="shared" si="7"/>
        <v>5200</v>
      </c>
      <c r="E104">
        <v>520005</v>
      </c>
      <c r="F104" t="s">
        <v>389</v>
      </c>
      <c r="G104" t="s">
        <v>138</v>
      </c>
      <c r="H104"/>
      <c r="I104"/>
      <c r="J104"/>
      <c r="K104">
        <v>0</v>
      </c>
    </row>
    <row r="105" spans="1:11">
      <c r="A105" t="str">
        <f t="shared" si="4"/>
        <v>5</v>
      </c>
      <c r="B105" t="str">
        <f t="shared" si="5"/>
        <v>52</v>
      </c>
      <c r="C105" t="str">
        <f t="shared" si="6"/>
        <v>520</v>
      </c>
      <c r="D105" t="str">
        <f t="shared" si="7"/>
        <v>5200</v>
      </c>
      <c r="E105">
        <v>520007</v>
      </c>
      <c r="F105" t="s">
        <v>389</v>
      </c>
      <c r="G105" t="s">
        <v>138</v>
      </c>
      <c r="H105"/>
      <c r="I105">
        <v>0</v>
      </c>
      <c r="J105">
        <v>0</v>
      </c>
      <c r="K105">
        <v>0</v>
      </c>
    </row>
    <row r="106" spans="1:11">
      <c r="A106" t="str">
        <f t="shared" si="4"/>
        <v>5</v>
      </c>
      <c r="B106" t="str">
        <f t="shared" si="5"/>
        <v>52</v>
      </c>
      <c r="C106" t="str">
        <f t="shared" si="6"/>
        <v>521</v>
      </c>
      <c r="D106" t="str">
        <f t="shared" si="7"/>
        <v>5211</v>
      </c>
      <c r="E106">
        <v>521101</v>
      </c>
      <c r="F106" t="s">
        <v>389</v>
      </c>
      <c r="G106" t="s">
        <v>141</v>
      </c>
      <c r="H106">
        <v>1589734</v>
      </c>
      <c r="I106">
        <v>0</v>
      </c>
      <c r="J106">
        <v>0</v>
      </c>
      <c r="K106">
        <v>0</v>
      </c>
    </row>
    <row r="107" spans="1:11">
      <c r="A107" t="str">
        <f t="shared" si="4"/>
        <v>5</v>
      </c>
      <c r="B107" t="str">
        <f t="shared" si="5"/>
        <v>52</v>
      </c>
      <c r="C107" t="str">
        <f t="shared" si="6"/>
        <v>521</v>
      </c>
      <c r="D107" t="str">
        <f t="shared" si="7"/>
        <v>5211</v>
      </c>
      <c r="E107">
        <v>521102</v>
      </c>
      <c r="F107" t="s">
        <v>389</v>
      </c>
      <c r="G107" t="s">
        <v>143</v>
      </c>
      <c r="H107">
        <v>-31800685</v>
      </c>
      <c r="I107">
        <v>-10205225</v>
      </c>
      <c r="J107">
        <v>-38273144</v>
      </c>
      <c r="K107">
        <v>106317179</v>
      </c>
    </row>
    <row r="108" spans="1:11">
      <c r="A108" t="str">
        <f t="shared" si="4"/>
        <v>5</v>
      </c>
      <c r="B108" t="str">
        <f t="shared" si="5"/>
        <v>52</v>
      </c>
      <c r="C108" t="str">
        <f t="shared" si="6"/>
        <v>521</v>
      </c>
      <c r="D108" t="str">
        <f t="shared" si="7"/>
        <v>5211</v>
      </c>
      <c r="E108">
        <v>521103</v>
      </c>
      <c r="F108" t="s">
        <v>389</v>
      </c>
      <c r="G108" t="s">
        <v>145</v>
      </c>
      <c r="H108">
        <v>6519324</v>
      </c>
      <c r="I108">
        <v>6425322</v>
      </c>
      <c r="J108">
        <v>14208909</v>
      </c>
      <c r="K108">
        <v>64814312</v>
      </c>
    </row>
    <row r="109" spans="1:11">
      <c r="A109" t="str">
        <f t="shared" si="4"/>
        <v>5</v>
      </c>
      <c r="B109" t="str">
        <f t="shared" si="5"/>
        <v>52</v>
      </c>
      <c r="C109" t="str">
        <f t="shared" si="6"/>
        <v>521</v>
      </c>
      <c r="D109" t="str">
        <f t="shared" si="7"/>
        <v>5211</v>
      </c>
      <c r="E109">
        <v>521104</v>
      </c>
      <c r="F109" t="s">
        <v>389</v>
      </c>
      <c r="G109" t="s">
        <v>147</v>
      </c>
      <c r="H109">
        <v>-47416</v>
      </c>
      <c r="I109">
        <v>61567</v>
      </c>
      <c r="J109">
        <v>-125339</v>
      </c>
      <c r="K109">
        <v>45000</v>
      </c>
    </row>
    <row r="110" spans="1:11">
      <c r="A110" t="str">
        <f t="shared" si="4"/>
        <v>5</v>
      </c>
      <c r="B110" t="str">
        <f t="shared" si="5"/>
        <v>52</v>
      </c>
      <c r="C110" t="str">
        <f t="shared" si="6"/>
        <v>521</v>
      </c>
      <c r="D110" t="str">
        <f t="shared" si="7"/>
        <v>5211</v>
      </c>
      <c r="E110">
        <v>521108</v>
      </c>
      <c r="F110" t="s">
        <v>389</v>
      </c>
      <c r="G110" t="s">
        <v>148</v>
      </c>
      <c r="H110">
        <v>199900</v>
      </c>
      <c r="I110">
        <v>23852</v>
      </c>
      <c r="J110">
        <v>-114873</v>
      </c>
      <c r="K110">
        <v>79810</v>
      </c>
    </row>
    <row r="111" spans="1:11">
      <c r="A111" t="str">
        <f t="shared" si="4"/>
        <v>5</v>
      </c>
      <c r="B111" t="str">
        <f t="shared" si="5"/>
        <v>52</v>
      </c>
      <c r="C111" t="str">
        <f t="shared" si="6"/>
        <v>521</v>
      </c>
      <c r="D111" t="str">
        <f t="shared" si="7"/>
        <v>5211</v>
      </c>
      <c r="E111">
        <v>521109</v>
      </c>
      <c r="F111" t="s">
        <v>389</v>
      </c>
      <c r="G111" t="s">
        <v>149</v>
      </c>
      <c r="H111"/>
      <c r="I111"/>
      <c r="J111">
        <v>-24122</v>
      </c>
      <c r="K111">
        <v>94907</v>
      </c>
    </row>
    <row r="112" spans="1:11">
      <c r="A112" t="str">
        <f t="shared" si="4"/>
        <v>5</v>
      </c>
      <c r="B112" t="str">
        <f t="shared" si="5"/>
        <v>52</v>
      </c>
      <c r="C112" t="str">
        <f t="shared" si="6"/>
        <v>521</v>
      </c>
      <c r="D112" t="str">
        <f t="shared" si="7"/>
        <v>5211</v>
      </c>
      <c r="E112">
        <v>521110</v>
      </c>
      <c r="F112" t="s">
        <v>389</v>
      </c>
      <c r="G112" t="s">
        <v>150</v>
      </c>
      <c r="H112"/>
      <c r="I112"/>
      <c r="J112"/>
      <c r="K112">
        <v>34000</v>
      </c>
    </row>
    <row r="113" spans="1:12">
      <c r="A113" t="str">
        <f t="shared" si="4"/>
        <v>5</v>
      </c>
      <c r="B113" t="str">
        <f t="shared" si="5"/>
        <v>52</v>
      </c>
      <c r="C113" t="str">
        <f t="shared" si="6"/>
        <v>525</v>
      </c>
      <c r="D113" t="str">
        <f t="shared" si="7"/>
        <v>5250</v>
      </c>
      <c r="E113">
        <v>525000</v>
      </c>
      <c r="F113" t="s">
        <v>389</v>
      </c>
      <c r="G113" t="s">
        <v>152</v>
      </c>
      <c r="H113">
        <v>10000000</v>
      </c>
      <c r="I113">
        <v>0</v>
      </c>
      <c r="J113">
        <v>0</v>
      </c>
      <c r="K113">
        <v>0</v>
      </c>
    </row>
    <row r="114" spans="1:12">
      <c r="A114" t="str">
        <f t="shared" si="4"/>
        <v>5</v>
      </c>
      <c r="B114" t="str">
        <f t="shared" si="5"/>
        <v>52</v>
      </c>
      <c r="C114" t="str">
        <f t="shared" si="6"/>
        <v>525</v>
      </c>
      <c r="D114" t="str">
        <f t="shared" si="7"/>
        <v>5251</v>
      </c>
      <c r="E114">
        <v>525100</v>
      </c>
      <c r="F114" t="s">
        <v>389</v>
      </c>
      <c r="G114" t="s">
        <v>153</v>
      </c>
      <c r="H114">
        <v>6300000</v>
      </c>
      <c r="I114">
        <v>32388068</v>
      </c>
      <c r="J114">
        <v>40028973</v>
      </c>
      <c r="K114">
        <v>113721841</v>
      </c>
    </row>
    <row r="115" spans="1:12">
      <c r="A115" t="str">
        <f t="shared" si="4"/>
        <v>5</v>
      </c>
      <c r="B115" t="str">
        <f t="shared" si="5"/>
        <v>52</v>
      </c>
      <c r="C115" t="str">
        <f t="shared" si="6"/>
        <v>525</v>
      </c>
      <c r="D115" t="str">
        <f t="shared" si="7"/>
        <v>5252</v>
      </c>
      <c r="E115">
        <v>525200</v>
      </c>
      <c r="F115" t="s">
        <v>389</v>
      </c>
      <c r="G115" t="s">
        <v>154</v>
      </c>
      <c r="H115"/>
      <c r="I115">
        <v>10000000</v>
      </c>
      <c r="J115">
        <v>10000000</v>
      </c>
      <c r="K115">
        <v>0</v>
      </c>
    </row>
    <row r="116" spans="1:12">
      <c r="A116" t="str">
        <f t="shared" si="4"/>
        <v>5</v>
      </c>
      <c r="B116" t="str">
        <f t="shared" si="5"/>
        <v>56</v>
      </c>
      <c r="C116" t="str">
        <f t="shared" si="6"/>
        <v>561</v>
      </c>
      <c r="D116" t="str">
        <f t="shared" si="7"/>
        <v>5610</v>
      </c>
      <c r="E116">
        <v>561000</v>
      </c>
      <c r="F116" t="s">
        <v>390</v>
      </c>
      <c r="G116" t="s">
        <v>156</v>
      </c>
      <c r="H116"/>
      <c r="I116">
        <v>-99811430</v>
      </c>
      <c r="J116">
        <v>-2301009</v>
      </c>
      <c r="K116">
        <v>26703575</v>
      </c>
    </row>
    <row r="117" spans="1:12">
      <c r="A117" t="str">
        <f t="shared" si="4"/>
        <v>5</v>
      </c>
      <c r="B117" t="str">
        <f t="shared" si="5"/>
        <v>56</v>
      </c>
      <c r="C117" t="str">
        <f t="shared" si="6"/>
        <v>561</v>
      </c>
      <c r="D117" t="str">
        <f t="shared" si="7"/>
        <v>5610</v>
      </c>
      <c r="E117">
        <v>561020</v>
      </c>
      <c r="F117" t="s">
        <v>390</v>
      </c>
      <c r="G117" t="s">
        <v>157</v>
      </c>
      <c r="H117"/>
      <c r="I117"/>
      <c r="J117">
        <v>-15000000</v>
      </c>
      <c r="K117"/>
    </row>
    <row r="118" spans="1:12">
      <c r="A118" t="str">
        <f t="shared" si="4"/>
        <v>5</v>
      </c>
      <c r="B118" t="str">
        <f t="shared" si="5"/>
        <v>56</v>
      </c>
      <c r="C118" t="str">
        <f t="shared" si="6"/>
        <v>561</v>
      </c>
      <c r="D118" t="str">
        <f t="shared" si="7"/>
        <v>5610</v>
      </c>
      <c r="E118">
        <v>561020</v>
      </c>
      <c r="F118" t="s">
        <v>390</v>
      </c>
      <c r="G118" t="s">
        <v>158</v>
      </c>
      <c r="H118"/>
      <c r="I118"/>
      <c r="J118"/>
      <c r="K118" s="18">
        <v>0</v>
      </c>
    </row>
    <row r="119" spans="1:12">
      <c r="A119" t="str">
        <f t="shared" si="4"/>
        <v>5</v>
      </c>
      <c r="B119" t="str">
        <f t="shared" si="5"/>
        <v>56</v>
      </c>
      <c r="C119" t="str">
        <f t="shared" si="6"/>
        <v>561</v>
      </c>
      <c r="D119" t="str">
        <f t="shared" si="7"/>
        <v>5610</v>
      </c>
      <c r="E119">
        <v>561030</v>
      </c>
      <c r="F119" t="s">
        <v>390</v>
      </c>
      <c r="G119" t="s">
        <v>159</v>
      </c>
      <c r="H119"/>
      <c r="I119"/>
      <c r="J119"/>
      <c r="K119">
        <v>-55794422</v>
      </c>
    </row>
    <row r="120" spans="1:12">
      <c r="A120" t="str">
        <f t="shared" si="4"/>
        <v>5</v>
      </c>
      <c r="B120" t="str">
        <f t="shared" si="5"/>
        <v>56</v>
      </c>
      <c r="C120" t="str">
        <f t="shared" si="6"/>
        <v>561</v>
      </c>
      <c r="D120" t="str">
        <f t="shared" si="7"/>
        <v>5610</v>
      </c>
      <c r="E120">
        <v>561040</v>
      </c>
      <c r="F120" t="s">
        <v>390</v>
      </c>
      <c r="G120" t="s">
        <v>160</v>
      </c>
      <c r="H120"/>
      <c r="I120"/>
      <c r="J120"/>
      <c r="K120">
        <v>-48270607</v>
      </c>
    </row>
    <row r="121" spans="1:12">
      <c r="A121" t="str">
        <f t="shared" si="4"/>
        <v>5</v>
      </c>
      <c r="B121" t="str">
        <f t="shared" si="5"/>
        <v>56</v>
      </c>
      <c r="C121" t="str">
        <f t="shared" si="6"/>
        <v>561</v>
      </c>
      <c r="D121" t="str">
        <f t="shared" si="7"/>
        <v>5610</v>
      </c>
      <c r="E121">
        <v>561060</v>
      </c>
      <c r="F121" t="s">
        <v>390</v>
      </c>
      <c r="G121" t="s">
        <v>161</v>
      </c>
      <c r="H121"/>
      <c r="I121"/>
      <c r="J121"/>
      <c r="K121">
        <v>0</v>
      </c>
    </row>
    <row r="122" spans="1:12">
      <c r="A122" t="str">
        <f t="shared" si="4"/>
        <v>5</v>
      </c>
      <c r="B122" t="str">
        <f t="shared" si="5"/>
        <v>56</v>
      </c>
      <c r="C122" t="str">
        <f t="shared" si="6"/>
        <v>566</v>
      </c>
      <c r="D122" t="str">
        <f t="shared" si="7"/>
        <v>5660</v>
      </c>
      <c r="E122">
        <v>566000</v>
      </c>
      <c r="F122" t="s">
        <v>390</v>
      </c>
      <c r="G122" t="s">
        <v>163</v>
      </c>
      <c r="H122"/>
      <c r="I122"/>
      <c r="J122">
        <v>-1857342</v>
      </c>
      <c r="K122">
        <v>0</v>
      </c>
    </row>
    <row r="123" spans="1:12">
      <c r="A123" t="str">
        <f t="shared" si="4"/>
        <v>5</v>
      </c>
      <c r="B123" t="str">
        <f t="shared" si="5"/>
        <v>57</v>
      </c>
      <c r="C123" t="str">
        <f t="shared" si="6"/>
        <v>571</v>
      </c>
      <c r="D123" t="str">
        <f t="shared" si="7"/>
        <v>5711</v>
      </c>
      <c r="E123">
        <v>571100</v>
      </c>
      <c r="F123" t="s">
        <v>391</v>
      </c>
      <c r="G123" t="s">
        <v>165</v>
      </c>
      <c r="H123">
        <v>1386329</v>
      </c>
      <c r="I123">
        <v>220303</v>
      </c>
      <c r="J123">
        <v>229234</v>
      </c>
      <c r="K123">
        <v>394612</v>
      </c>
    </row>
    <row r="124" spans="1:12">
      <c r="A124" t="str">
        <f t="shared" si="4"/>
        <v>5</v>
      </c>
      <c r="B124" t="str">
        <f t="shared" si="5"/>
        <v>57</v>
      </c>
      <c r="C124" t="str">
        <f t="shared" si="6"/>
        <v>571</v>
      </c>
      <c r="D124" t="str">
        <f t="shared" si="7"/>
        <v>5711</v>
      </c>
      <c r="E124">
        <v>571110</v>
      </c>
      <c r="F124" t="s">
        <v>391</v>
      </c>
      <c r="G124" t="s">
        <v>167</v>
      </c>
      <c r="H124">
        <v>0</v>
      </c>
      <c r="I124">
        <v>0</v>
      </c>
      <c r="J124">
        <v>0</v>
      </c>
      <c r="K124">
        <v>0</v>
      </c>
    </row>
    <row r="125" spans="1:12">
      <c r="A125" t="str">
        <f t="shared" si="4"/>
        <v>5</v>
      </c>
      <c r="B125" t="str">
        <f t="shared" si="5"/>
        <v>58</v>
      </c>
      <c r="C125" t="str">
        <f t="shared" si="6"/>
        <v>585</v>
      </c>
      <c r="D125" t="str">
        <f t="shared" si="7"/>
        <v>5850</v>
      </c>
      <c r="E125">
        <v>585000</v>
      </c>
      <c r="F125" t="s">
        <v>392</v>
      </c>
      <c r="G125" t="s">
        <v>169</v>
      </c>
      <c r="H125"/>
      <c r="I125">
        <v>0</v>
      </c>
      <c r="J125">
        <v>0</v>
      </c>
      <c r="K125">
        <v>0</v>
      </c>
    </row>
    <row r="126" spans="1:12">
      <c r="A126" t="str">
        <f t="shared" si="4"/>
        <v>5</v>
      </c>
      <c r="B126" t="str">
        <f t="shared" si="5"/>
        <v>58</v>
      </c>
      <c r="C126" t="str">
        <f t="shared" si="6"/>
        <v>588</v>
      </c>
      <c r="D126" t="str">
        <f t="shared" si="7"/>
        <v>5880</v>
      </c>
      <c r="E126">
        <v>588001</v>
      </c>
      <c r="F126" t="s">
        <v>392</v>
      </c>
      <c r="G126" t="s">
        <v>171</v>
      </c>
      <c r="H126">
        <v>0</v>
      </c>
      <c r="I126">
        <v>0</v>
      </c>
      <c r="J126">
        <v>0</v>
      </c>
      <c r="K126">
        <v>0</v>
      </c>
    </row>
    <row r="127" spans="1:12">
      <c r="A127" t="str">
        <f t="shared" si="4"/>
        <v>6</v>
      </c>
      <c r="B127" t="str">
        <f t="shared" si="5"/>
        <v>60</v>
      </c>
      <c r="C127" t="str">
        <f t="shared" si="6"/>
        <v>601</v>
      </c>
      <c r="D127" t="str">
        <f t="shared" si="7"/>
        <v>6011</v>
      </c>
      <c r="E127">
        <v>601100</v>
      </c>
      <c r="F127" t="s">
        <v>393</v>
      </c>
      <c r="G127" t="s">
        <v>173</v>
      </c>
      <c r="H127" s="18">
        <v>52275082</v>
      </c>
      <c r="I127" s="18">
        <v>153993032</v>
      </c>
      <c r="J127" s="18">
        <v>107102160</v>
      </c>
      <c r="K127" s="18">
        <v>295523343</v>
      </c>
      <c r="L127" s="78">
        <f>(K127/I127)^(1/2)-1</f>
        <v>0.38530486840295364</v>
      </c>
    </row>
    <row r="128" spans="1:12">
      <c r="A128" t="str">
        <f t="shared" si="4"/>
        <v>6</v>
      </c>
      <c r="B128" t="str">
        <f t="shared" si="5"/>
        <v>60</v>
      </c>
      <c r="C128" t="str">
        <f t="shared" si="6"/>
        <v>601</v>
      </c>
      <c r="D128" t="str">
        <f t="shared" si="7"/>
        <v>6012</v>
      </c>
      <c r="E128">
        <v>601200</v>
      </c>
      <c r="F128" t="s">
        <v>393</v>
      </c>
      <c r="G128" t="s">
        <v>175</v>
      </c>
      <c r="H128" s="18">
        <v>52503625</v>
      </c>
      <c r="I128" s="18">
        <v>251476354</v>
      </c>
      <c r="J128" s="18">
        <v>83151191</v>
      </c>
      <c r="K128" s="18">
        <v>521558576</v>
      </c>
      <c r="L128" s="78">
        <f>(K128/I128)^(1/2)-1</f>
        <v>0.44013421271771236</v>
      </c>
    </row>
    <row r="129" spans="1:11">
      <c r="A129" t="str">
        <f t="shared" si="4"/>
        <v>6</v>
      </c>
      <c r="B129" t="str">
        <f t="shared" si="5"/>
        <v>60</v>
      </c>
      <c r="C129" t="str">
        <f t="shared" si="6"/>
        <v>601</v>
      </c>
      <c r="D129" t="str">
        <f t="shared" si="7"/>
        <v>6015</v>
      </c>
      <c r="E129">
        <v>601500</v>
      </c>
      <c r="F129" t="s">
        <v>393</v>
      </c>
      <c r="G129" t="s">
        <v>177</v>
      </c>
      <c r="H129" s="18">
        <v>5178146</v>
      </c>
      <c r="I129" s="18">
        <v>13509087</v>
      </c>
      <c r="J129" s="18">
        <v>7863431</v>
      </c>
      <c r="K129" s="18">
        <v>24670396</v>
      </c>
    </row>
    <row r="130" spans="1:11">
      <c r="A130" t="str">
        <f t="shared" si="4"/>
        <v>6</v>
      </c>
      <c r="B130" t="str">
        <f t="shared" si="5"/>
        <v>60</v>
      </c>
      <c r="C130" t="str">
        <f t="shared" si="6"/>
        <v>605</v>
      </c>
      <c r="D130" t="str">
        <f t="shared" si="7"/>
        <v>6051</v>
      </c>
      <c r="E130">
        <v>605100</v>
      </c>
      <c r="F130" s="124" t="s">
        <v>394</v>
      </c>
      <c r="G130" t="s">
        <v>178</v>
      </c>
      <c r="K130" s="18">
        <v>79191</v>
      </c>
    </row>
    <row r="131" spans="1:11">
      <c r="A131" t="str">
        <f t="shared" si="4"/>
        <v>6</v>
      </c>
      <c r="B131" t="str">
        <f t="shared" si="5"/>
        <v>60</v>
      </c>
      <c r="C131" t="str">
        <f t="shared" si="6"/>
        <v>605</v>
      </c>
      <c r="D131" t="str">
        <f t="shared" si="7"/>
        <v>6052</v>
      </c>
      <c r="E131">
        <v>605200</v>
      </c>
      <c r="F131" t="s">
        <v>395</v>
      </c>
      <c r="G131" t="s">
        <v>180</v>
      </c>
      <c r="H131" s="18">
        <v>3606401</v>
      </c>
      <c r="I131" s="18">
        <v>2880266</v>
      </c>
      <c r="J131" s="18">
        <v>4415597</v>
      </c>
      <c r="K131" s="18">
        <v>8485062</v>
      </c>
    </row>
    <row r="132" spans="1:11">
      <c r="A132" t="str">
        <f t="shared" ref="A132:A190" si="8">LEFT(B132,1)</f>
        <v>6</v>
      </c>
      <c r="B132" t="str">
        <f t="shared" ref="B132:B190" si="9">LEFT(C132,2)</f>
        <v>60</v>
      </c>
      <c r="C132" t="str">
        <f t="shared" ref="C132:C190" si="10">LEFT(D132,3)</f>
        <v>605</v>
      </c>
      <c r="D132" t="str">
        <f t="shared" si="7"/>
        <v>6053</v>
      </c>
      <c r="E132">
        <v>605300</v>
      </c>
      <c r="F132" t="s">
        <v>394</v>
      </c>
      <c r="G132" t="s">
        <v>182</v>
      </c>
      <c r="H132" s="18">
        <v>890000</v>
      </c>
      <c r="I132" s="18">
        <v>2188785</v>
      </c>
      <c r="J132" s="18">
        <v>3145996</v>
      </c>
      <c r="K132" s="18">
        <v>2304601</v>
      </c>
    </row>
    <row r="133" spans="1:11">
      <c r="A133" t="str">
        <f t="shared" si="8"/>
        <v>6</v>
      </c>
      <c r="B133" t="str">
        <f t="shared" si="9"/>
        <v>60</v>
      </c>
      <c r="C133" t="str">
        <f t="shared" si="10"/>
        <v>605</v>
      </c>
      <c r="D133" t="str">
        <f t="shared" ref="D133:D190" si="11">LEFT(E133,4)</f>
        <v>6054</v>
      </c>
      <c r="E133">
        <v>605400</v>
      </c>
      <c r="F133" t="s">
        <v>396</v>
      </c>
      <c r="G133" t="s">
        <v>184</v>
      </c>
      <c r="H133" s="18">
        <v>1339457</v>
      </c>
      <c r="I133" s="18">
        <v>1623055</v>
      </c>
      <c r="J133" s="18">
        <v>880613</v>
      </c>
      <c r="K133" s="18">
        <v>1162239</v>
      </c>
    </row>
    <row r="134" spans="1:11">
      <c r="A134" t="str">
        <f t="shared" si="8"/>
        <v>6</v>
      </c>
      <c r="B134" t="str">
        <f t="shared" si="9"/>
        <v>60</v>
      </c>
      <c r="C134" t="str">
        <f t="shared" si="10"/>
        <v>605</v>
      </c>
      <c r="D134" t="str">
        <f t="shared" si="11"/>
        <v>6055</v>
      </c>
      <c r="E134">
        <v>605500</v>
      </c>
      <c r="F134" t="s">
        <v>397</v>
      </c>
      <c r="G134" t="s">
        <v>186</v>
      </c>
      <c r="H134" s="18">
        <v>3168454</v>
      </c>
      <c r="I134" s="18">
        <v>3200268</v>
      </c>
      <c r="J134" s="18">
        <v>845083</v>
      </c>
      <c r="K134" s="18">
        <v>541120</v>
      </c>
    </row>
    <row r="135" spans="1:11">
      <c r="A135" t="str">
        <f t="shared" si="8"/>
        <v>6</v>
      </c>
      <c r="B135" t="str">
        <f t="shared" si="9"/>
        <v>60</v>
      </c>
      <c r="C135" t="str">
        <f t="shared" si="10"/>
        <v>605</v>
      </c>
      <c r="D135" t="str">
        <f t="shared" si="11"/>
        <v>6055</v>
      </c>
      <c r="E135">
        <v>605550</v>
      </c>
      <c r="F135" t="s">
        <v>397</v>
      </c>
      <c r="G135" t="s">
        <v>187</v>
      </c>
      <c r="J135" s="18">
        <v>76220</v>
      </c>
    </row>
    <row r="136" spans="1:11">
      <c r="A136" t="str">
        <f t="shared" si="8"/>
        <v>6</v>
      </c>
      <c r="B136" t="str">
        <f t="shared" si="9"/>
        <v>60</v>
      </c>
      <c r="C136" t="str">
        <f t="shared" si="10"/>
        <v>605</v>
      </c>
      <c r="D136" t="str">
        <f t="shared" si="11"/>
        <v>6055</v>
      </c>
      <c r="E136">
        <v>605550</v>
      </c>
      <c r="F136" t="s">
        <v>397</v>
      </c>
      <c r="G136" t="s">
        <v>188</v>
      </c>
      <c r="H136"/>
      <c r="I136"/>
      <c r="J136"/>
      <c r="K136" s="18">
        <v>193927</v>
      </c>
    </row>
    <row r="137" spans="1:11">
      <c r="A137" t="str">
        <f t="shared" si="8"/>
        <v>6</v>
      </c>
      <c r="B137" t="str">
        <f t="shared" si="9"/>
        <v>60</v>
      </c>
      <c r="C137" t="str">
        <f t="shared" si="10"/>
        <v>605</v>
      </c>
      <c r="D137" t="str">
        <f t="shared" si="11"/>
        <v>6056</v>
      </c>
      <c r="E137">
        <v>605600</v>
      </c>
      <c r="F137" t="s">
        <v>398</v>
      </c>
      <c r="G137" t="s">
        <v>190</v>
      </c>
      <c r="H137" s="18">
        <v>227853</v>
      </c>
      <c r="I137" s="18">
        <v>40454272</v>
      </c>
      <c r="J137" s="18">
        <v>8398389</v>
      </c>
      <c r="K137" s="18">
        <v>5316279</v>
      </c>
    </row>
    <row r="138" spans="1:11">
      <c r="A138" t="str">
        <f t="shared" si="8"/>
        <v>6</v>
      </c>
      <c r="B138" t="str">
        <f t="shared" si="9"/>
        <v>60</v>
      </c>
      <c r="C138" t="str">
        <f t="shared" si="10"/>
        <v>605</v>
      </c>
      <c r="D138" t="str">
        <f t="shared" si="11"/>
        <v>6056</v>
      </c>
      <c r="E138">
        <v>605601</v>
      </c>
      <c r="F138" t="s">
        <v>398</v>
      </c>
      <c r="G138" t="s">
        <v>192</v>
      </c>
      <c r="J138" s="18">
        <v>7334765</v>
      </c>
      <c r="K138" s="18">
        <v>4430269</v>
      </c>
    </row>
    <row r="139" spans="1:11">
      <c r="A139" t="str">
        <f t="shared" si="8"/>
        <v>6</v>
      </c>
      <c r="B139" t="str">
        <f t="shared" si="9"/>
        <v>60</v>
      </c>
      <c r="C139" t="str">
        <f t="shared" si="10"/>
        <v>605</v>
      </c>
      <c r="D139" t="str">
        <f t="shared" si="11"/>
        <v>6057</v>
      </c>
      <c r="E139">
        <v>605700</v>
      </c>
      <c r="F139" t="s">
        <v>399</v>
      </c>
      <c r="G139" t="s">
        <v>194</v>
      </c>
      <c r="H139" s="18">
        <v>3027932</v>
      </c>
      <c r="I139" s="18">
        <v>31891109</v>
      </c>
      <c r="J139" s="18">
        <v>81353904</v>
      </c>
      <c r="K139" s="18">
        <v>43734936</v>
      </c>
    </row>
    <row r="140" spans="1:11">
      <c r="A140" t="str">
        <f t="shared" si="8"/>
        <v>6</v>
      </c>
      <c r="B140" t="str">
        <f t="shared" si="9"/>
        <v>60</v>
      </c>
      <c r="C140" t="str">
        <f t="shared" si="10"/>
        <v>605</v>
      </c>
      <c r="D140" t="str">
        <f t="shared" si="11"/>
        <v>6057</v>
      </c>
      <c r="E140">
        <v>605701</v>
      </c>
      <c r="F140" t="s">
        <v>399</v>
      </c>
      <c r="G140" t="s">
        <v>196</v>
      </c>
      <c r="H140" s="18">
        <v>12353525</v>
      </c>
      <c r="I140" s="18">
        <v>4193049</v>
      </c>
      <c r="J140" s="18">
        <v>-152769</v>
      </c>
    </row>
    <row r="141" spans="1:11">
      <c r="A141" t="str">
        <f t="shared" si="8"/>
        <v>6</v>
      </c>
      <c r="B141" t="str">
        <f t="shared" si="9"/>
        <v>60</v>
      </c>
      <c r="C141" t="str">
        <f t="shared" si="10"/>
        <v>605</v>
      </c>
      <c r="D141" t="str">
        <f t="shared" si="11"/>
        <v>6058</v>
      </c>
      <c r="E141">
        <v>605800</v>
      </c>
      <c r="F141" t="s">
        <v>400</v>
      </c>
      <c r="G141" t="s">
        <v>198</v>
      </c>
      <c r="H141" s="18">
        <v>212852800</v>
      </c>
      <c r="I141" s="18">
        <v>3370809</v>
      </c>
      <c r="J141" s="18">
        <v>147718225</v>
      </c>
      <c r="K141" s="18">
        <v>0</v>
      </c>
    </row>
    <row r="142" spans="1:11">
      <c r="A142" t="str">
        <f t="shared" si="8"/>
        <v>6</v>
      </c>
      <c r="B142" t="str">
        <f t="shared" si="9"/>
        <v>61</v>
      </c>
      <c r="C142" t="str">
        <f t="shared" si="10"/>
        <v>616</v>
      </c>
      <c r="D142" t="str">
        <f t="shared" si="11"/>
        <v>6160</v>
      </c>
      <c r="E142">
        <v>616000</v>
      </c>
      <c r="F142" t="s">
        <v>401</v>
      </c>
      <c r="G142" t="s">
        <v>200</v>
      </c>
      <c r="H142" s="18">
        <v>300000</v>
      </c>
      <c r="K142" s="18">
        <v>227136</v>
      </c>
    </row>
    <row r="143" spans="1:11">
      <c r="A143" t="str">
        <f t="shared" si="8"/>
        <v>6</v>
      </c>
      <c r="B143" t="str">
        <f t="shared" si="9"/>
        <v>61</v>
      </c>
      <c r="C143" t="str">
        <f t="shared" si="10"/>
        <v>616</v>
      </c>
      <c r="D143" t="str">
        <f t="shared" si="11"/>
        <v>6161</v>
      </c>
      <c r="E143">
        <v>616100</v>
      </c>
      <c r="F143" t="s">
        <v>401</v>
      </c>
      <c r="G143" t="s">
        <v>202</v>
      </c>
      <c r="K143" s="18">
        <v>961613</v>
      </c>
    </row>
    <row r="144" spans="1:11">
      <c r="A144" t="str">
        <f t="shared" si="8"/>
        <v>6</v>
      </c>
      <c r="B144" t="str">
        <f t="shared" si="9"/>
        <v>61</v>
      </c>
      <c r="C144" t="str">
        <f t="shared" si="10"/>
        <v>618</v>
      </c>
      <c r="D144" t="str">
        <f t="shared" si="11"/>
        <v>6181</v>
      </c>
      <c r="E144">
        <v>618100</v>
      </c>
      <c r="F144" t="s">
        <v>401</v>
      </c>
      <c r="G144" t="s">
        <v>204</v>
      </c>
      <c r="K144" s="18">
        <v>2047251</v>
      </c>
    </row>
    <row r="145" spans="1:11">
      <c r="A145" t="str">
        <f t="shared" si="8"/>
        <v>6</v>
      </c>
      <c r="B145" t="str">
        <f t="shared" si="9"/>
        <v>61</v>
      </c>
      <c r="C145" t="str">
        <f t="shared" si="10"/>
        <v>618</v>
      </c>
      <c r="D145" t="str">
        <f t="shared" si="11"/>
        <v>6183</v>
      </c>
      <c r="E145">
        <v>618300</v>
      </c>
      <c r="F145" t="s">
        <v>401</v>
      </c>
      <c r="G145" t="s">
        <v>206</v>
      </c>
      <c r="H145" s="18">
        <v>4798050</v>
      </c>
      <c r="I145" s="18">
        <v>11554794</v>
      </c>
      <c r="J145" s="18">
        <v>5342950</v>
      </c>
      <c r="K145" s="18">
        <v>4737630</v>
      </c>
    </row>
    <row r="146" spans="1:11">
      <c r="A146" t="str">
        <f t="shared" si="8"/>
        <v>6</v>
      </c>
      <c r="B146" t="str">
        <f t="shared" si="9"/>
        <v>61</v>
      </c>
      <c r="C146" t="str">
        <f t="shared" si="10"/>
        <v>618</v>
      </c>
      <c r="D146" t="str">
        <f t="shared" si="11"/>
        <v>6183</v>
      </c>
      <c r="E146">
        <v>618301</v>
      </c>
      <c r="F146" t="s">
        <v>401</v>
      </c>
      <c r="G146" t="s">
        <v>207</v>
      </c>
      <c r="K146" s="18">
        <v>2755699</v>
      </c>
    </row>
    <row r="147" spans="1:11">
      <c r="A147" t="str">
        <f t="shared" si="8"/>
        <v>6</v>
      </c>
      <c r="B147" t="str">
        <f t="shared" si="9"/>
        <v>62</v>
      </c>
      <c r="C147" t="str">
        <f t="shared" si="10"/>
        <v>621</v>
      </c>
      <c r="D147" t="str">
        <f t="shared" si="11"/>
        <v>6210</v>
      </c>
      <c r="E147">
        <v>621000</v>
      </c>
      <c r="F147" t="s">
        <v>402</v>
      </c>
      <c r="G147" t="s">
        <v>208</v>
      </c>
      <c r="H147" s="18">
        <v>27500015</v>
      </c>
    </row>
    <row r="148" spans="1:11">
      <c r="A148" t="str">
        <f t="shared" si="8"/>
        <v>6</v>
      </c>
      <c r="B148" t="str">
        <f t="shared" si="9"/>
        <v>62</v>
      </c>
      <c r="C148" t="str">
        <f t="shared" si="10"/>
        <v>622</v>
      </c>
      <c r="D148" t="str">
        <f t="shared" si="11"/>
        <v>6222</v>
      </c>
      <c r="E148">
        <v>622200</v>
      </c>
      <c r="F148" t="s">
        <v>403</v>
      </c>
      <c r="G148" t="s">
        <v>210</v>
      </c>
      <c r="H148" s="18">
        <v>20400000</v>
      </c>
      <c r="I148" s="18">
        <v>20400000</v>
      </c>
      <c r="J148" s="18">
        <v>20400000</v>
      </c>
      <c r="K148" s="18">
        <v>19200000</v>
      </c>
    </row>
    <row r="149" spans="1:11">
      <c r="A149" t="str">
        <f t="shared" si="8"/>
        <v>6</v>
      </c>
      <c r="B149" t="str">
        <f t="shared" si="9"/>
        <v>62</v>
      </c>
      <c r="C149" t="str">
        <f t="shared" si="10"/>
        <v>622</v>
      </c>
      <c r="D149" t="str">
        <f t="shared" si="11"/>
        <v>6223</v>
      </c>
      <c r="E149">
        <v>622300</v>
      </c>
      <c r="F149" t="s">
        <v>403</v>
      </c>
      <c r="G149" t="s">
        <v>212</v>
      </c>
      <c r="I149" s="18">
        <v>820000</v>
      </c>
      <c r="J149" s="18">
        <v>2533000</v>
      </c>
      <c r="K149" s="18">
        <v>1275000</v>
      </c>
    </row>
    <row r="150" spans="1:11">
      <c r="A150" t="str">
        <f t="shared" si="8"/>
        <v>6</v>
      </c>
      <c r="B150" t="str">
        <f t="shared" si="9"/>
        <v>62</v>
      </c>
      <c r="C150" t="str">
        <f t="shared" si="10"/>
        <v>622</v>
      </c>
      <c r="D150" t="str">
        <f t="shared" si="11"/>
        <v>6228</v>
      </c>
      <c r="E150">
        <v>622800</v>
      </c>
      <c r="F150" t="s">
        <v>403</v>
      </c>
      <c r="G150" t="s">
        <v>214</v>
      </c>
      <c r="J150" s="18">
        <v>1351000</v>
      </c>
      <c r="K150" s="18">
        <v>1207390</v>
      </c>
    </row>
    <row r="151" spans="1:11">
      <c r="A151" t="str">
        <f t="shared" si="8"/>
        <v>6</v>
      </c>
      <c r="B151" t="str">
        <f t="shared" si="9"/>
        <v>62</v>
      </c>
      <c r="C151" t="str">
        <f t="shared" si="10"/>
        <v>623</v>
      </c>
      <c r="D151" t="str">
        <f t="shared" si="11"/>
        <v>6233</v>
      </c>
      <c r="E151">
        <v>623300</v>
      </c>
      <c r="F151" t="s">
        <v>403</v>
      </c>
      <c r="G151" t="s">
        <v>215</v>
      </c>
      <c r="K151" s="18">
        <v>388224</v>
      </c>
    </row>
    <row r="152" spans="1:11">
      <c r="A152" t="str">
        <f t="shared" si="8"/>
        <v>6</v>
      </c>
      <c r="B152" t="str">
        <f t="shared" si="9"/>
        <v>62</v>
      </c>
      <c r="C152" t="str">
        <f t="shared" si="10"/>
        <v>624</v>
      </c>
      <c r="D152" t="str">
        <f t="shared" si="11"/>
        <v>6241</v>
      </c>
      <c r="E152">
        <v>624100</v>
      </c>
      <c r="F152" t="s">
        <v>404</v>
      </c>
      <c r="G152" t="s">
        <v>217</v>
      </c>
      <c r="J152" s="18">
        <v>843000</v>
      </c>
      <c r="K152" s="18">
        <v>1767660</v>
      </c>
    </row>
    <row r="153" spans="1:11">
      <c r="A153" t="str">
        <f t="shared" si="8"/>
        <v>6</v>
      </c>
      <c r="B153" t="str">
        <f t="shared" si="9"/>
        <v>62</v>
      </c>
      <c r="C153" t="str">
        <f t="shared" si="10"/>
        <v>624</v>
      </c>
      <c r="D153" t="str">
        <f t="shared" si="11"/>
        <v>6242</v>
      </c>
      <c r="E153">
        <v>624200</v>
      </c>
      <c r="F153" t="s">
        <v>404</v>
      </c>
      <c r="G153" t="s">
        <v>219</v>
      </c>
      <c r="I153" s="18">
        <v>2497660</v>
      </c>
      <c r="J153" s="18">
        <v>1701875</v>
      </c>
      <c r="K153" s="18">
        <v>1302521</v>
      </c>
    </row>
    <row r="154" spans="1:11">
      <c r="A154" t="str">
        <f t="shared" si="8"/>
        <v>6</v>
      </c>
      <c r="B154" t="str">
        <f t="shared" si="9"/>
        <v>62</v>
      </c>
      <c r="C154" t="str">
        <f t="shared" si="10"/>
        <v>624</v>
      </c>
      <c r="D154" t="str">
        <f t="shared" si="11"/>
        <v>6248</v>
      </c>
      <c r="E154">
        <v>624800</v>
      </c>
      <c r="F154" t="s">
        <v>404</v>
      </c>
      <c r="G154" t="s">
        <v>221</v>
      </c>
      <c r="H154" s="18">
        <v>1724828</v>
      </c>
      <c r="I154" s="18">
        <v>5337979</v>
      </c>
      <c r="J154" s="18">
        <v>113000</v>
      </c>
      <c r="K154" s="18">
        <v>1062042</v>
      </c>
    </row>
    <row r="155" spans="1:11">
      <c r="A155" t="str">
        <f t="shared" si="8"/>
        <v>6</v>
      </c>
      <c r="B155" t="str">
        <f t="shared" si="9"/>
        <v>62</v>
      </c>
      <c r="C155" t="str">
        <f t="shared" si="10"/>
        <v>625</v>
      </c>
      <c r="D155" t="str">
        <f t="shared" si="11"/>
        <v>6251</v>
      </c>
      <c r="E155">
        <v>625100</v>
      </c>
      <c r="F155" t="s">
        <v>405</v>
      </c>
      <c r="G155" t="s">
        <v>223</v>
      </c>
      <c r="K155" s="18">
        <v>3220727</v>
      </c>
    </row>
    <row r="156" spans="1:11">
      <c r="A156" t="str">
        <f t="shared" si="8"/>
        <v>6</v>
      </c>
      <c r="B156" t="str">
        <f t="shared" si="9"/>
        <v>62</v>
      </c>
      <c r="C156" t="str">
        <f t="shared" si="10"/>
        <v>625</v>
      </c>
      <c r="D156" t="str">
        <f t="shared" si="11"/>
        <v>6252</v>
      </c>
      <c r="E156">
        <v>625200</v>
      </c>
      <c r="F156" t="s">
        <v>405</v>
      </c>
      <c r="G156" t="s">
        <v>225</v>
      </c>
      <c r="H156" s="18">
        <v>260879</v>
      </c>
      <c r="I156" s="18">
        <v>2790012</v>
      </c>
      <c r="J156" s="18">
        <v>1621460</v>
      </c>
      <c r="K156" s="18">
        <v>1261833</v>
      </c>
    </row>
    <row r="157" spans="1:11">
      <c r="A157" t="str">
        <f t="shared" si="8"/>
        <v>6</v>
      </c>
      <c r="B157" t="str">
        <f t="shared" si="9"/>
        <v>62</v>
      </c>
      <c r="C157" t="str">
        <f t="shared" si="10"/>
        <v>625</v>
      </c>
      <c r="D157" t="str">
        <f t="shared" si="11"/>
        <v>6254</v>
      </c>
      <c r="E157">
        <v>625400</v>
      </c>
      <c r="F157" t="s">
        <v>405</v>
      </c>
      <c r="G157" t="s">
        <v>226</v>
      </c>
      <c r="H157" s="18">
        <v>500000</v>
      </c>
      <c r="I157" s="18">
        <v>382088</v>
      </c>
      <c r="J157" s="18">
        <v>664100</v>
      </c>
    </row>
    <row r="158" spans="1:11">
      <c r="A158" t="str">
        <f t="shared" si="8"/>
        <v>6</v>
      </c>
      <c r="B158" t="str">
        <f t="shared" si="9"/>
        <v>62</v>
      </c>
      <c r="C158" t="str">
        <f t="shared" si="10"/>
        <v>625</v>
      </c>
      <c r="D158" t="str">
        <f t="shared" si="11"/>
        <v>6258</v>
      </c>
      <c r="E158">
        <v>625800</v>
      </c>
      <c r="F158" t="s">
        <v>405</v>
      </c>
      <c r="G158" t="s">
        <v>228</v>
      </c>
      <c r="I158" s="18">
        <v>12879605</v>
      </c>
      <c r="J158" s="18">
        <v>0</v>
      </c>
      <c r="K158" s="18">
        <v>20028313</v>
      </c>
    </row>
    <row r="159" spans="1:11">
      <c r="A159" t="str">
        <f t="shared" si="8"/>
        <v>6</v>
      </c>
      <c r="B159" t="str">
        <f t="shared" si="9"/>
        <v>62</v>
      </c>
      <c r="C159" t="str">
        <f t="shared" si="10"/>
        <v>626</v>
      </c>
      <c r="D159" t="str">
        <f t="shared" si="11"/>
        <v>6265</v>
      </c>
      <c r="E159">
        <v>626500</v>
      </c>
      <c r="F159" t="s">
        <v>406</v>
      </c>
      <c r="G159" t="s">
        <v>229</v>
      </c>
      <c r="J159" s="18">
        <v>205000</v>
      </c>
      <c r="K159" s="18">
        <v>3874090</v>
      </c>
    </row>
    <row r="160" spans="1:11">
      <c r="A160" t="str">
        <f t="shared" si="8"/>
        <v>6</v>
      </c>
      <c r="B160" t="str">
        <f t="shared" si="9"/>
        <v>62</v>
      </c>
      <c r="C160" t="str">
        <f t="shared" si="10"/>
        <v>627</v>
      </c>
      <c r="D160" t="str">
        <f t="shared" si="11"/>
        <v>6271</v>
      </c>
      <c r="E160">
        <v>627100</v>
      </c>
      <c r="F160" t="s">
        <v>407</v>
      </c>
      <c r="G160" t="s">
        <v>230</v>
      </c>
      <c r="H160" s="18">
        <v>1153506</v>
      </c>
      <c r="I160" s="18">
        <v>2077909</v>
      </c>
      <c r="J160" s="18">
        <v>2454330</v>
      </c>
      <c r="K160" s="18">
        <v>1621410</v>
      </c>
    </row>
    <row r="161" spans="1:11">
      <c r="A161" t="str">
        <f t="shared" si="8"/>
        <v>6</v>
      </c>
      <c r="B161" t="str">
        <f t="shared" si="9"/>
        <v>62</v>
      </c>
      <c r="C161" t="str">
        <f t="shared" si="10"/>
        <v>627</v>
      </c>
      <c r="D161" t="str">
        <f t="shared" si="11"/>
        <v>6272</v>
      </c>
      <c r="E161">
        <v>627200</v>
      </c>
      <c r="F161" t="s">
        <v>407</v>
      </c>
      <c r="G161" t="s">
        <v>232</v>
      </c>
      <c r="H161" s="18">
        <v>170000</v>
      </c>
    </row>
    <row r="162" spans="1:11">
      <c r="A162" t="str">
        <f t="shared" si="8"/>
        <v>6</v>
      </c>
      <c r="B162" t="str">
        <f t="shared" si="9"/>
        <v>62</v>
      </c>
      <c r="C162" t="str">
        <f t="shared" si="10"/>
        <v>627</v>
      </c>
      <c r="D162" t="str">
        <f t="shared" si="11"/>
        <v>6276</v>
      </c>
      <c r="E162">
        <v>627600</v>
      </c>
      <c r="F162" t="s">
        <v>407</v>
      </c>
      <c r="G162" t="s">
        <v>234</v>
      </c>
      <c r="H162" s="18">
        <v>3375607</v>
      </c>
      <c r="I162" s="18">
        <v>3037000</v>
      </c>
      <c r="K162" s="18">
        <v>5520600</v>
      </c>
    </row>
    <row r="163" spans="1:11">
      <c r="A163" t="str">
        <f t="shared" si="8"/>
        <v>6</v>
      </c>
      <c r="B163" t="str">
        <f t="shared" si="9"/>
        <v>62</v>
      </c>
      <c r="C163" t="str">
        <f t="shared" si="10"/>
        <v>627</v>
      </c>
      <c r="D163" t="str">
        <f t="shared" si="11"/>
        <v>6277</v>
      </c>
      <c r="E163">
        <v>627700</v>
      </c>
      <c r="F163" t="s">
        <v>407</v>
      </c>
      <c r="G163" t="s">
        <v>236</v>
      </c>
      <c r="H163" s="18">
        <v>3845763</v>
      </c>
      <c r="I163" s="18">
        <v>10476720</v>
      </c>
      <c r="J163" s="18">
        <v>8137755</v>
      </c>
      <c r="K163" s="18">
        <v>3788193</v>
      </c>
    </row>
    <row r="164" spans="1:11">
      <c r="A164" t="str">
        <f t="shared" si="8"/>
        <v>6</v>
      </c>
      <c r="B164" t="str">
        <f t="shared" si="9"/>
        <v>62</v>
      </c>
      <c r="C164" t="str">
        <f t="shared" si="10"/>
        <v>627</v>
      </c>
      <c r="D164" t="str">
        <f t="shared" si="11"/>
        <v>6278</v>
      </c>
      <c r="E164">
        <v>627800</v>
      </c>
      <c r="F164" t="s">
        <v>407</v>
      </c>
      <c r="G164" t="s">
        <v>238</v>
      </c>
      <c r="H164" s="18">
        <v>825289</v>
      </c>
      <c r="I164" s="18">
        <v>4682736</v>
      </c>
      <c r="J164" s="18">
        <v>2942434</v>
      </c>
      <c r="K164" s="18">
        <v>729600</v>
      </c>
    </row>
    <row r="165" spans="1:11">
      <c r="A165" t="str">
        <f t="shared" si="8"/>
        <v>6</v>
      </c>
      <c r="B165" t="str">
        <f t="shared" si="9"/>
        <v>62</v>
      </c>
      <c r="C165" t="str">
        <f t="shared" si="10"/>
        <v>628</v>
      </c>
      <c r="D165" t="str">
        <f t="shared" si="11"/>
        <v>6281</v>
      </c>
      <c r="E165">
        <v>628100</v>
      </c>
      <c r="F165" t="s">
        <v>408</v>
      </c>
      <c r="G165" t="s">
        <v>239</v>
      </c>
      <c r="I165" s="18">
        <v>4710668</v>
      </c>
      <c r="J165" s="18">
        <v>2563784</v>
      </c>
      <c r="K165" s="18">
        <v>2966408</v>
      </c>
    </row>
    <row r="166" spans="1:11">
      <c r="A166" t="str">
        <f t="shared" si="8"/>
        <v>6</v>
      </c>
      <c r="B166" t="str">
        <f t="shared" si="9"/>
        <v>62</v>
      </c>
      <c r="C166" t="str">
        <f t="shared" si="10"/>
        <v>628</v>
      </c>
      <c r="D166" t="str">
        <f t="shared" si="11"/>
        <v>6281</v>
      </c>
      <c r="E166">
        <v>62811</v>
      </c>
      <c r="F166" t="s">
        <v>408</v>
      </c>
      <c r="G166" t="s">
        <v>240</v>
      </c>
      <c r="K166" s="18">
        <v>1931758</v>
      </c>
    </row>
    <row r="167" spans="1:11">
      <c r="A167" t="str">
        <f t="shared" si="8"/>
        <v>6</v>
      </c>
      <c r="B167" t="str">
        <f t="shared" si="9"/>
        <v>62</v>
      </c>
      <c r="C167" t="str">
        <f t="shared" si="10"/>
        <v>628</v>
      </c>
      <c r="D167" t="str">
        <f t="shared" si="11"/>
        <v>6288</v>
      </c>
      <c r="E167">
        <v>628800</v>
      </c>
      <c r="F167" t="s">
        <v>408</v>
      </c>
      <c r="G167" t="s">
        <v>242</v>
      </c>
      <c r="H167" s="18">
        <v>22457710</v>
      </c>
      <c r="I167" s="18">
        <v>19340653</v>
      </c>
      <c r="J167" s="18">
        <v>7309270</v>
      </c>
      <c r="K167" s="18">
        <v>5194177</v>
      </c>
    </row>
    <row r="168" spans="1:11">
      <c r="A168" t="str">
        <f t="shared" si="8"/>
        <v>6</v>
      </c>
      <c r="B168" t="str">
        <f t="shared" si="9"/>
        <v>63</v>
      </c>
      <c r="C168" t="str">
        <f t="shared" si="10"/>
        <v>631</v>
      </c>
      <c r="D168" t="str">
        <f t="shared" si="11"/>
        <v>6315</v>
      </c>
      <c r="E168">
        <v>631500</v>
      </c>
      <c r="F168" t="s">
        <v>409</v>
      </c>
      <c r="G168" t="s">
        <v>243</v>
      </c>
      <c r="H168" s="18">
        <v>218649</v>
      </c>
      <c r="I168" s="18">
        <v>237112</v>
      </c>
      <c r="J168" s="18">
        <v>1505701</v>
      </c>
      <c r="K168" s="18">
        <v>1338830</v>
      </c>
    </row>
    <row r="169" spans="1:11">
      <c r="A169" t="str">
        <f t="shared" si="8"/>
        <v>6</v>
      </c>
      <c r="B169" t="str">
        <f t="shared" si="9"/>
        <v>63</v>
      </c>
      <c r="C169" t="str">
        <f t="shared" si="10"/>
        <v>631</v>
      </c>
      <c r="D169" t="str">
        <f t="shared" si="11"/>
        <v>6316</v>
      </c>
      <c r="E169">
        <v>631600</v>
      </c>
      <c r="F169" t="s">
        <v>409</v>
      </c>
      <c r="G169" t="s">
        <v>244</v>
      </c>
      <c r="H169" s="18">
        <v>4052007</v>
      </c>
    </row>
    <row r="170" spans="1:11">
      <c r="A170" t="str">
        <f t="shared" si="8"/>
        <v>6</v>
      </c>
      <c r="B170" t="str">
        <f t="shared" si="9"/>
        <v>63</v>
      </c>
      <c r="C170" t="str">
        <f t="shared" si="10"/>
        <v>631</v>
      </c>
      <c r="D170" t="str">
        <f t="shared" si="11"/>
        <v>6317</v>
      </c>
      <c r="E170">
        <v>631700</v>
      </c>
      <c r="F170" t="s">
        <v>409</v>
      </c>
      <c r="G170" t="s">
        <v>246</v>
      </c>
      <c r="H170" s="18">
        <v>869407</v>
      </c>
      <c r="I170" s="18">
        <v>758970</v>
      </c>
      <c r="J170" s="18">
        <v>572200</v>
      </c>
      <c r="K170" s="18">
        <v>636423</v>
      </c>
    </row>
    <row r="171" spans="1:11">
      <c r="A171" t="str">
        <f t="shared" si="8"/>
        <v>6</v>
      </c>
      <c r="B171" t="str">
        <f t="shared" si="9"/>
        <v>63</v>
      </c>
      <c r="C171" t="str">
        <f t="shared" si="10"/>
        <v>631</v>
      </c>
      <c r="D171" t="str">
        <f t="shared" si="11"/>
        <v>6318</v>
      </c>
      <c r="E171">
        <v>631800</v>
      </c>
      <c r="F171" t="s">
        <v>409</v>
      </c>
      <c r="G171" t="s">
        <v>248</v>
      </c>
      <c r="H171" s="18">
        <v>9756392</v>
      </c>
      <c r="I171" s="18">
        <v>13169672</v>
      </c>
      <c r="J171" s="18">
        <v>4524773</v>
      </c>
      <c r="K171" s="18">
        <v>2663665</v>
      </c>
    </row>
    <row r="172" spans="1:11">
      <c r="A172" t="str">
        <f t="shared" si="8"/>
        <v>6</v>
      </c>
      <c r="B172" t="str">
        <f t="shared" si="9"/>
        <v>63</v>
      </c>
      <c r="C172" t="str">
        <f t="shared" si="10"/>
        <v>631</v>
      </c>
      <c r="D172" t="str">
        <f t="shared" si="11"/>
        <v>6318</v>
      </c>
      <c r="E172">
        <v>631810</v>
      </c>
      <c r="F172" t="s">
        <v>409</v>
      </c>
      <c r="G172" t="s">
        <v>249</v>
      </c>
      <c r="I172" s="18">
        <v>11717255</v>
      </c>
      <c r="J172" s="18">
        <v>3855742</v>
      </c>
      <c r="K172" s="18">
        <v>13693505</v>
      </c>
    </row>
    <row r="173" spans="1:11">
      <c r="A173" t="str">
        <f t="shared" si="8"/>
        <v>6</v>
      </c>
      <c r="B173" t="str">
        <f t="shared" si="9"/>
        <v>63</v>
      </c>
      <c r="C173" t="str">
        <f t="shared" si="10"/>
        <v>632</v>
      </c>
      <c r="D173" t="str">
        <f t="shared" si="11"/>
        <v>6324</v>
      </c>
      <c r="E173">
        <v>632400</v>
      </c>
      <c r="F173" t="s">
        <v>410</v>
      </c>
      <c r="G173" t="s">
        <v>251</v>
      </c>
      <c r="H173" s="18">
        <v>8020000</v>
      </c>
      <c r="I173" s="18">
        <v>18090055</v>
      </c>
      <c r="J173" s="18">
        <v>23626892</v>
      </c>
      <c r="K173" s="18">
        <v>9738834</v>
      </c>
    </row>
    <row r="174" spans="1:11">
      <c r="A174" t="str">
        <f t="shared" si="8"/>
        <v>6</v>
      </c>
      <c r="B174" t="str">
        <f t="shared" si="9"/>
        <v>63</v>
      </c>
      <c r="C174" t="str">
        <f t="shared" si="10"/>
        <v>632</v>
      </c>
      <c r="D174" t="str">
        <f t="shared" si="11"/>
        <v>6324</v>
      </c>
      <c r="E174">
        <v>632401</v>
      </c>
      <c r="F174" t="s">
        <v>410</v>
      </c>
      <c r="G174" t="s">
        <v>252</v>
      </c>
      <c r="J174" s="18">
        <v>97276817</v>
      </c>
    </row>
    <row r="175" spans="1:11">
      <c r="A175" t="str">
        <f t="shared" si="8"/>
        <v>6</v>
      </c>
      <c r="B175" t="str">
        <f t="shared" si="9"/>
        <v>63</v>
      </c>
      <c r="C175" t="str">
        <f t="shared" si="10"/>
        <v>632</v>
      </c>
      <c r="D175" t="str">
        <f t="shared" si="11"/>
        <v>6324</v>
      </c>
      <c r="E175">
        <v>632402</v>
      </c>
      <c r="F175" t="s">
        <v>410</v>
      </c>
      <c r="G175" t="s">
        <v>253</v>
      </c>
      <c r="J175" s="18">
        <v>2542373</v>
      </c>
      <c r="K175" s="18">
        <v>5084746</v>
      </c>
    </row>
    <row r="176" spans="1:11">
      <c r="A176" t="str">
        <f t="shared" si="8"/>
        <v>6</v>
      </c>
      <c r="B176" t="str">
        <f t="shared" si="9"/>
        <v>63</v>
      </c>
      <c r="C176" t="str">
        <f t="shared" si="10"/>
        <v>632</v>
      </c>
      <c r="D176" t="str">
        <f t="shared" si="11"/>
        <v>6324</v>
      </c>
      <c r="E176">
        <v>632408</v>
      </c>
      <c r="F176" t="s">
        <v>410</v>
      </c>
      <c r="G176" t="s">
        <v>254</v>
      </c>
      <c r="K176" s="18">
        <v>9986486</v>
      </c>
    </row>
    <row r="177" spans="1:11">
      <c r="A177" t="str">
        <f t="shared" si="8"/>
        <v>6</v>
      </c>
      <c r="B177" t="str">
        <f t="shared" si="9"/>
        <v>63</v>
      </c>
      <c r="C177" t="str">
        <f t="shared" si="10"/>
        <v>632</v>
      </c>
      <c r="D177" t="str">
        <f t="shared" si="11"/>
        <v>6325</v>
      </c>
      <c r="E177">
        <v>632500</v>
      </c>
      <c r="F177" t="s">
        <v>410</v>
      </c>
      <c r="G177" t="s">
        <v>255</v>
      </c>
      <c r="J177" s="18">
        <v>639000</v>
      </c>
    </row>
    <row r="178" spans="1:11">
      <c r="A178" t="str">
        <f t="shared" si="8"/>
        <v>6</v>
      </c>
      <c r="B178" t="str">
        <f t="shared" si="9"/>
        <v>63</v>
      </c>
      <c r="C178" t="str">
        <f t="shared" si="10"/>
        <v>632</v>
      </c>
      <c r="D178" t="str">
        <f t="shared" si="11"/>
        <v>6327</v>
      </c>
      <c r="E178">
        <v>632700</v>
      </c>
      <c r="F178" t="s">
        <v>410</v>
      </c>
      <c r="G178" t="s">
        <v>257</v>
      </c>
      <c r="I178" s="18">
        <v>1236000</v>
      </c>
      <c r="J178" s="18">
        <v>1200000</v>
      </c>
      <c r="K178" s="18">
        <v>191007271</v>
      </c>
    </row>
    <row r="179" spans="1:11">
      <c r="A179" t="str">
        <f t="shared" si="8"/>
        <v>6</v>
      </c>
      <c r="B179" t="str">
        <f t="shared" si="9"/>
        <v>63</v>
      </c>
      <c r="C179" t="str">
        <f t="shared" si="10"/>
        <v>632</v>
      </c>
      <c r="D179" t="str">
        <f t="shared" si="11"/>
        <v>6327</v>
      </c>
      <c r="E179">
        <v>632701</v>
      </c>
      <c r="F179" t="s">
        <v>410</v>
      </c>
      <c r="G179" t="s">
        <v>257</v>
      </c>
      <c r="K179" s="18">
        <v>2136036</v>
      </c>
    </row>
    <row r="180" spans="1:11">
      <c r="A180" t="str">
        <f t="shared" si="8"/>
        <v>6</v>
      </c>
      <c r="B180" t="str">
        <f t="shared" si="9"/>
        <v>63</v>
      </c>
      <c r="C180" t="str">
        <f t="shared" si="10"/>
        <v>632</v>
      </c>
      <c r="D180" t="str">
        <f t="shared" si="11"/>
        <v>6328</v>
      </c>
      <c r="E180">
        <v>632800</v>
      </c>
      <c r="F180" t="s">
        <v>410</v>
      </c>
      <c r="G180" t="s">
        <v>259</v>
      </c>
      <c r="J180" s="18">
        <v>409381</v>
      </c>
      <c r="K180" s="18">
        <v>3869138</v>
      </c>
    </row>
    <row r="181" spans="1:11">
      <c r="A181" t="str">
        <f t="shared" si="8"/>
        <v>6</v>
      </c>
      <c r="B181" t="str">
        <f t="shared" si="9"/>
        <v>63</v>
      </c>
      <c r="C181" t="str">
        <f t="shared" si="10"/>
        <v>633</v>
      </c>
      <c r="D181" t="str">
        <f t="shared" si="11"/>
        <v>6330</v>
      </c>
      <c r="E181">
        <v>633000</v>
      </c>
      <c r="F181" t="s">
        <v>411</v>
      </c>
      <c r="G181" t="s">
        <v>261</v>
      </c>
      <c r="H181" s="18">
        <v>3975883</v>
      </c>
      <c r="I181" s="18">
        <v>2867607</v>
      </c>
      <c r="J181" s="18">
        <v>2998733</v>
      </c>
      <c r="K181" s="18">
        <v>5287355</v>
      </c>
    </row>
    <row r="182" spans="1:11">
      <c r="A182" t="str">
        <f t="shared" si="8"/>
        <v>6</v>
      </c>
      <c r="B182" t="str">
        <f t="shared" si="9"/>
        <v>63</v>
      </c>
      <c r="C182" t="str">
        <f t="shared" si="10"/>
        <v>634</v>
      </c>
      <c r="D182" t="str">
        <f t="shared" si="11"/>
        <v>6343</v>
      </c>
      <c r="E182">
        <v>634300</v>
      </c>
      <c r="F182" t="s">
        <v>411</v>
      </c>
      <c r="G182" t="s">
        <v>263</v>
      </c>
      <c r="I182" s="18">
        <v>7344808</v>
      </c>
      <c r="J182" s="18">
        <v>32889180</v>
      </c>
      <c r="K182" s="18">
        <v>30138711</v>
      </c>
    </row>
    <row r="183" spans="1:11">
      <c r="A183" t="str">
        <f t="shared" si="8"/>
        <v>6</v>
      </c>
      <c r="B183" t="str">
        <f t="shared" si="9"/>
        <v>63</v>
      </c>
      <c r="C183" t="str">
        <f t="shared" si="10"/>
        <v>638</v>
      </c>
      <c r="D183" t="str">
        <f t="shared" si="11"/>
        <v>6381</v>
      </c>
      <c r="E183">
        <v>638100</v>
      </c>
      <c r="F183" t="s">
        <v>411</v>
      </c>
      <c r="G183" t="s">
        <v>264</v>
      </c>
      <c r="H183" s="18">
        <v>605523</v>
      </c>
      <c r="I183" s="18">
        <v>5588926</v>
      </c>
    </row>
    <row r="184" spans="1:11">
      <c r="A184" t="str">
        <f t="shared" si="8"/>
        <v>6</v>
      </c>
      <c r="B184" t="str">
        <f t="shared" si="9"/>
        <v>63</v>
      </c>
      <c r="C184" t="str">
        <f t="shared" si="10"/>
        <v>638</v>
      </c>
      <c r="D184" t="str">
        <f t="shared" si="11"/>
        <v>6382</v>
      </c>
      <c r="E184">
        <v>638200</v>
      </c>
      <c r="F184" t="s">
        <v>411</v>
      </c>
      <c r="G184" t="s">
        <v>265</v>
      </c>
      <c r="K184" s="18">
        <v>2523000</v>
      </c>
    </row>
    <row r="185" spans="1:11">
      <c r="A185" t="str">
        <f t="shared" si="8"/>
        <v>6</v>
      </c>
      <c r="B185" t="str">
        <f t="shared" si="9"/>
        <v>63</v>
      </c>
      <c r="C185" t="str">
        <f t="shared" si="10"/>
        <v>638</v>
      </c>
      <c r="D185" t="str">
        <f t="shared" si="11"/>
        <v>6383</v>
      </c>
      <c r="E185">
        <v>638300</v>
      </c>
      <c r="F185" t="s">
        <v>411</v>
      </c>
      <c r="G185" t="s">
        <v>267</v>
      </c>
      <c r="H185" s="18">
        <v>7525177</v>
      </c>
      <c r="I185" s="18">
        <v>11371259</v>
      </c>
      <c r="J185" s="18">
        <v>10900867</v>
      </c>
      <c r="K185" s="18">
        <v>20211169</v>
      </c>
    </row>
    <row r="186" spans="1:11">
      <c r="A186" t="str">
        <f t="shared" si="8"/>
        <v>6</v>
      </c>
      <c r="B186" t="str">
        <f t="shared" si="9"/>
        <v>63</v>
      </c>
      <c r="C186" t="str">
        <f t="shared" si="10"/>
        <v>638</v>
      </c>
      <c r="D186" t="str">
        <f t="shared" si="11"/>
        <v>6384</v>
      </c>
      <c r="E186">
        <v>638400</v>
      </c>
      <c r="F186" t="s">
        <v>411</v>
      </c>
      <c r="G186" t="s">
        <v>269</v>
      </c>
      <c r="H186" s="18">
        <v>48890534</v>
      </c>
      <c r="I186" s="18">
        <v>51349950</v>
      </c>
      <c r="J186" s="18">
        <v>18632179</v>
      </c>
      <c r="K186" s="18">
        <v>7592382</v>
      </c>
    </row>
    <row r="187" spans="1:11">
      <c r="A187" t="str">
        <f t="shared" si="8"/>
        <v>6</v>
      </c>
      <c r="B187" t="str">
        <f t="shared" si="9"/>
        <v>64</v>
      </c>
      <c r="C187" t="str">
        <f t="shared" si="10"/>
        <v>641</v>
      </c>
      <c r="D187" t="str">
        <f t="shared" si="11"/>
        <v>6412</v>
      </c>
      <c r="E187">
        <v>641200</v>
      </c>
      <c r="F187" t="s">
        <v>411</v>
      </c>
      <c r="G187" t="s">
        <v>271</v>
      </c>
      <c r="K187" s="18">
        <v>6774000</v>
      </c>
    </row>
    <row r="188" spans="1:11">
      <c r="A188" t="str">
        <f t="shared" si="8"/>
        <v>6</v>
      </c>
      <c r="B188" t="str">
        <f t="shared" si="9"/>
        <v>64</v>
      </c>
      <c r="C188" t="str">
        <f t="shared" si="10"/>
        <v>641</v>
      </c>
      <c r="D188" t="str">
        <f t="shared" si="11"/>
        <v>6413</v>
      </c>
      <c r="E188">
        <v>641300</v>
      </c>
      <c r="F188" t="s">
        <v>412</v>
      </c>
      <c r="G188" t="s">
        <v>272</v>
      </c>
      <c r="H188" s="18">
        <v>1402611</v>
      </c>
      <c r="I188" s="18">
        <v>2170224</v>
      </c>
      <c r="J188" s="18">
        <v>4686792</v>
      </c>
      <c r="K188" s="18">
        <v>17402127</v>
      </c>
    </row>
    <row r="189" spans="1:11">
      <c r="A189" t="str">
        <f t="shared" si="8"/>
        <v>6</v>
      </c>
      <c r="B189" t="str">
        <f t="shared" si="9"/>
        <v>64</v>
      </c>
      <c r="C189" t="str">
        <f t="shared" si="10"/>
        <v>641</v>
      </c>
      <c r="D189" t="str">
        <f t="shared" si="11"/>
        <v>6413</v>
      </c>
      <c r="E189">
        <v>641380</v>
      </c>
      <c r="F189" t="s">
        <v>412</v>
      </c>
      <c r="G189" t="s">
        <v>273</v>
      </c>
      <c r="K189" s="18">
        <v>1643278</v>
      </c>
    </row>
    <row r="190" spans="1:11">
      <c r="A190" t="str">
        <f t="shared" si="8"/>
        <v>6</v>
      </c>
      <c r="B190" t="str">
        <f t="shared" si="9"/>
        <v>64</v>
      </c>
      <c r="C190" t="str">
        <f t="shared" si="10"/>
        <v>641</v>
      </c>
      <c r="D190" t="str">
        <f t="shared" si="11"/>
        <v>6414</v>
      </c>
      <c r="E190">
        <v>641400</v>
      </c>
      <c r="F190" t="s">
        <v>412</v>
      </c>
      <c r="G190" t="s">
        <v>275</v>
      </c>
      <c r="H190" s="18">
        <v>467538</v>
      </c>
      <c r="I190" s="18">
        <v>723406</v>
      </c>
      <c r="J190" s="18">
        <v>1798560</v>
      </c>
      <c r="K190" s="18">
        <v>2481631</v>
      </c>
    </row>
    <row r="191" spans="1:11">
      <c r="A191" t="str">
        <f t="shared" ref="A191:A252" si="12">LEFT(B191,1)</f>
        <v>6</v>
      </c>
      <c r="B191" t="str">
        <f t="shared" ref="B191:B222" si="13">LEFT(C191,2)</f>
        <v>64</v>
      </c>
      <c r="C191" t="str">
        <f t="shared" ref="C191:C252" si="14">LEFT(D191,3)</f>
        <v>641</v>
      </c>
      <c r="D191" t="str">
        <f t="shared" ref="D191:D252" si="15">LEFT(E191,4)</f>
        <v>6415</v>
      </c>
      <c r="E191">
        <v>641500</v>
      </c>
      <c r="F191" t="s">
        <v>412</v>
      </c>
      <c r="G191" t="s">
        <v>276</v>
      </c>
      <c r="H191" s="18">
        <v>1402612</v>
      </c>
      <c r="I191" s="18">
        <v>958554</v>
      </c>
      <c r="J191" s="18">
        <v>4686796</v>
      </c>
      <c r="K191" s="18">
        <v>7307804</v>
      </c>
    </row>
    <row r="192" spans="1:11">
      <c r="A192" t="str">
        <f t="shared" si="12"/>
        <v>6</v>
      </c>
      <c r="B192" t="str">
        <f t="shared" si="13"/>
        <v>64</v>
      </c>
      <c r="C192" t="str">
        <f t="shared" si="14"/>
        <v>641</v>
      </c>
      <c r="D192" t="str">
        <f t="shared" si="15"/>
        <v>6418</v>
      </c>
      <c r="E192">
        <v>641800</v>
      </c>
      <c r="F192" t="s">
        <v>412</v>
      </c>
      <c r="G192" t="s">
        <v>278</v>
      </c>
      <c r="I192" s="18">
        <v>4989009</v>
      </c>
      <c r="J192" s="18">
        <v>993816</v>
      </c>
      <c r="K192" s="18">
        <v>1681342</v>
      </c>
    </row>
    <row r="193" spans="1:11">
      <c r="A193" t="str">
        <f t="shared" si="12"/>
        <v>6</v>
      </c>
      <c r="B193" t="str">
        <f t="shared" si="13"/>
        <v>64</v>
      </c>
      <c r="C193" t="str">
        <f t="shared" si="14"/>
        <v>646</v>
      </c>
      <c r="D193" t="str">
        <f t="shared" si="15"/>
        <v>6462</v>
      </c>
      <c r="E193">
        <v>646200</v>
      </c>
      <c r="F193" t="s">
        <v>412</v>
      </c>
      <c r="G193" t="s">
        <v>280</v>
      </c>
      <c r="H193" s="18">
        <v>61100</v>
      </c>
      <c r="I193" s="18">
        <v>164105</v>
      </c>
      <c r="J193" s="18">
        <v>5000</v>
      </c>
      <c r="K193" s="18">
        <v>231294</v>
      </c>
    </row>
    <row r="194" spans="1:11">
      <c r="A194" t="str">
        <f t="shared" si="12"/>
        <v>6</v>
      </c>
      <c r="B194" t="str">
        <f t="shared" si="13"/>
        <v>64</v>
      </c>
      <c r="C194" t="str">
        <f t="shared" si="14"/>
        <v>646</v>
      </c>
      <c r="D194" t="str">
        <f t="shared" si="15"/>
        <v>6468</v>
      </c>
      <c r="E194">
        <v>646800</v>
      </c>
      <c r="F194" t="s">
        <v>412</v>
      </c>
      <c r="G194" t="s">
        <v>282</v>
      </c>
      <c r="H194" s="18">
        <v>309900</v>
      </c>
      <c r="I194" s="18">
        <v>1101000</v>
      </c>
      <c r="J194" s="18">
        <v>487100</v>
      </c>
      <c r="K194" s="18">
        <v>3009400</v>
      </c>
    </row>
    <row r="195" spans="1:11">
      <c r="A195" t="str">
        <f t="shared" si="12"/>
        <v>6</v>
      </c>
      <c r="B195" t="str">
        <f t="shared" si="13"/>
        <v>64</v>
      </c>
      <c r="C195" t="str">
        <f t="shared" si="14"/>
        <v>647</v>
      </c>
      <c r="D195" t="str">
        <f t="shared" si="15"/>
        <v>6471</v>
      </c>
      <c r="E195">
        <v>647100</v>
      </c>
      <c r="F195" t="s">
        <v>412</v>
      </c>
      <c r="G195" t="s">
        <v>283</v>
      </c>
      <c r="K195" s="18">
        <v>2765568</v>
      </c>
    </row>
    <row r="196" spans="1:11">
      <c r="A196" t="str">
        <f t="shared" si="12"/>
        <v>6</v>
      </c>
      <c r="B196" t="str">
        <f t="shared" si="13"/>
        <v>64</v>
      </c>
      <c r="C196" t="str">
        <f t="shared" si="14"/>
        <v>647</v>
      </c>
      <c r="D196" t="str">
        <f t="shared" si="15"/>
        <v>6472</v>
      </c>
      <c r="E196">
        <v>647200</v>
      </c>
      <c r="F196" t="s">
        <v>412</v>
      </c>
      <c r="G196" t="s">
        <v>284</v>
      </c>
      <c r="I196" s="18">
        <v>17694776</v>
      </c>
    </row>
    <row r="197" spans="1:11">
      <c r="A197" t="str">
        <f t="shared" si="12"/>
        <v>6</v>
      </c>
      <c r="B197" t="str">
        <f t="shared" si="13"/>
        <v>64</v>
      </c>
      <c r="C197" t="str">
        <f t="shared" si="14"/>
        <v>647</v>
      </c>
      <c r="D197" t="str">
        <f t="shared" si="15"/>
        <v>6473</v>
      </c>
      <c r="E197">
        <v>647300</v>
      </c>
      <c r="F197" t="s">
        <v>412</v>
      </c>
      <c r="G197" t="s">
        <v>285</v>
      </c>
      <c r="H197" s="18">
        <v>555000</v>
      </c>
    </row>
    <row r="198" spans="1:11">
      <c r="A198" t="str">
        <f t="shared" si="12"/>
        <v>6</v>
      </c>
      <c r="B198" t="str">
        <f t="shared" si="13"/>
        <v>64</v>
      </c>
      <c r="C198" t="str">
        <f t="shared" si="14"/>
        <v>647</v>
      </c>
      <c r="D198" t="str">
        <f t="shared" si="15"/>
        <v>6478</v>
      </c>
      <c r="E198">
        <v>647800</v>
      </c>
      <c r="F198" t="s">
        <v>412</v>
      </c>
      <c r="G198" t="s">
        <v>287</v>
      </c>
      <c r="H198" s="18">
        <v>150000</v>
      </c>
      <c r="J198" s="18">
        <v>225000</v>
      </c>
      <c r="K198" s="18">
        <v>1253000</v>
      </c>
    </row>
    <row r="199" spans="1:11">
      <c r="A199" t="str">
        <f t="shared" si="12"/>
        <v>6</v>
      </c>
      <c r="B199" t="str">
        <f t="shared" si="13"/>
        <v>64</v>
      </c>
      <c r="C199" t="str">
        <f t="shared" si="14"/>
        <v>648</v>
      </c>
      <c r="D199" t="str">
        <f t="shared" si="15"/>
        <v>6480</v>
      </c>
      <c r="E199">
        <v>648000</v>
      </c>
      <c r="F199" t="s">
        <v>412</v>
      </c>
      <c r="G199" t="s">
        <v>81</v>
      </c>
      <c r="I199" s="18">
        <v>188748</v>
      </c>
      <c r="K199" s="18">
        <v>30148788</v>
      </c>
    </row>
    <row r="200" spans="1:11">
      <c r="A200" t="str">
        <f t="shared" si="12"/>
        <v>6</v>
      </c>
      <c r="B200" t="str">
        <f t="shared" si="13"/>
        <v>65</v>
      </c>
      <c r="C200" t="str">
        <f t="shared" si="14"/>
        <v>651</v>
      </c>
      <c r="D200" t="str">
        <f t="shared" si="15"/>
        <v>6515</v>
      </c>
      <c r="E200">
        <v>651500</v>
      </c>
      <c r="F200" t="s">
        <v>413</v>
      </c>
      <c r="G200" t="s">
        <v>290</v>
      </c>
      <c r="H200" s="18">
        <v>316321</v>
      </c>
      <c r="I200" s="18">
        <v>3030212</v>
      </c>
      <c r="J200" s="18">
        <v>2629130</v>
      </c>
    </row>
    <row r="201" spans="1:11">
      <c r="A201" t="str">
        <f t="shared" si="12"/>
        <v>6</v>
      </c>
      <c r="B201" t="str">
        <f t="shared" si="13"/>
        <v>65</v>
      </c>
      <c r="C201" t="str">
        <f t="shared" si="14"/>
        <v>656</v>
      </c>
      <c r="D201" t="str">
        <f t="shared" si="15"/>
        <v>6560</v>
      </c>
      <c r="E201">
        <v>656000</v>
      </c>
      <c r="F201" t="s">
        <v>413</v>
      </c>
      <c r="G201" t="s">
        <v>292</v>
      </c>
      <c r="H201" s="18">
        <v>1442698</v>
      </c>
      <c r="I201" s="18">
        <v>4057781</v>
      </c>
      <c r="J201" s="18">
        <v>2287470</v>
      </c>
      <c r="K201" s="18">
        <v>5620164</v>
      </c>
    </row>
    <row r="202" spans="1:11">
      <c r="A202" t="str">
        <f t="shared" si="12"/>
        <v>6</v>
      </c>
      <c r="B202" t="str">
        <f t="shared" si="13"/>
        <v>65</v>
      </c>
      <c r="C202" t="str">
        <f t="shared" si="14"/>
        <v>657</v>
      </c>
      <c r="D202" t="str">
        <f t="shared" si="15"/>
        <v>6570</v>
      </c>
      <c r="E202">
        <v>657000</v>
      </c>
      <c r="F202" t="s">
        <v>413</v>
      </c>
      <c r="G202" t="s">
        <v>293</v>
      </c>
      <c r="I202" s="18">
        <v>2400000</v>
      </c>
    </row>
    <row r="203" spans="1:11">
      <c r="A203" t="str">
        <f t="shared" si="12"/>
        <v>6</v>
      </c>
      <c r="B203" t="str">
        <f t="shared" si="13"/>
        <v>65</v>
      </c>
      <c r="C203" t="str">
        <f t="shared" si="14"/>
        <v>658</v>
      </c>
      <c r="D203" t="str">
        <f t="shared" si="15"/>
        <v>6582</v>
      </c>
      <c r="E203">
        <v>658200</v>
      </c>
      <c r="F203" t="s">
        <v>413</v>
      </c>
      <c r="G203" t="s">
        <v>295</v>
      </c>
      <c r="J203" s="18">
        <v>72900</v>
      </c>
      <c r="K203" s="18">
        <v>250000</v>
      </c>
    </row>
    <row r="204" spans="1:11">
      <c r="A204" t="str">
        <f t="shared" si="12"/>
        <v>6</v>
      </c>
      <c r="B204" t="str">
        <f t="shared" si="13"/>
        <v>65</v>
      </c>
      <c r="C204" t="str">
        <f t="shared" si="14"/>
        <v>658</v>
      </c>
      <c r="D204" t="str">
        <f t="shared" si="15"/>
        <v>6588</v>
      </c>
      <c r="E204">
        <v>658800</v>
      </c>
      <c r="F204" t="s">
        <v>413</v>
      </c>
      <c r="G204" t="s">
        <v>297</v>
      </c>
      <c r="H204" s="18">
        <v>171444172</v>
      </c>
      <c r="I204" s="18">
        <v>212324481</v>
      </c>
      <c r="J204" s="18">
        <v>276594</v>
      </c>
      <c r="K204" s="18">
        <v>1378759</v>
      </c>
    </row>
    <row r="205" spans="1:11">
      <c r="A205" t="str">
        <f t="shared" si="12"/>
        <v>6</v>
      </c>
      <c r="B205" t="str">
        <f t="shared" si="13"/>
        <v>65</v>
      </c>
      <c r="C205" t="str">
        <f t="shared" si="14"/>
        <v>659</v>
      </c>
      <c r="D205" t="str">
        <f t="shared" si="15"/>
        <v>6598</v>
      </c>
      <c r="E205">
        <v>659800</v>
      </c>
      <c r="F205" t="s">
        <v>413</v>
      </c>
      <c r="G205" t="s">
        <v>298</v>
      </c>
      <c r="H205" s="18">
        <v>-4835729</v>
      </c>
    </row>
    <row r="206" spans="1:11">
      <c r="A206" t="str">
        <f t="shared" si="12"/>
        <v>6</v>
      </c>
      <c r="B206" t="str">
        <f t="shared" si="13"/>
        <v>66</v>
      </c>
      <c r="C206" t="str">
        <f t="shared" si="14"/>
        <v>661</v>
      </c>
      <c r="D206" t="str">
        <f t="shared" si="15"/>
        <v>6611</v>
      </c>
      <c r="E206">
        <v>661100</v>
      </c>
      <c r="F206" t="s">
        <v>414</v>
      </c>
      <c r="G206" t="s">
        <v>300</v>
      </c>
      <c r="H206" s="18">
        <v>109341785</v>
      </c>
      <c r="I206" s="18">
        <v>179027801</v>
      </c>
      <c r="J206" s="18">
        <v>370688335</v>
      </c>
      <c r="K206" s="18">
        <v>527398844</v>
      </c>
    </row>
    <row r="207" spans="1:11">
      <c r="A207" t="str">
        <f t="shared" si="12"/>
        <v>6</v>
      </c>
      <c r="B207" t="str">
        <f t="shared" si="13"/>
        <v>66</v>
      </c>
      <c r="C207" t="str">
        <f t="shared" si="14"/>
        <v>661</v>
      </c>
      <c r="D207" t="str">
        <f t="shared" si="15"/>
        <v>6612</v>
      </c>
      <c r="E207">
        <v>661200</v>
      </c>
      <c r="F207" t="s">
        <v>414</v>
      </c>
      <c r="G207" t="s">
        <v>301</v>
      </c>
      <c r="I207" s="18">
        <v>9100578</v>
      </c>
      <c r="K207" s="18">
        <v>1125524</v>
      </c>
    </row>
    <row r="208" spans="1:11">
      <c r="A208" t="str">
        <f t="shared" si="12"/>
        <v>6</v>
      </c>
      <c r="B208" t="str">
        <f t="shared" si="13"/>
        <v>66</v>
      </c>
      <c r="C208" t="str">
        <f t="shared" si="14"/>
        <v>661</v>
      </c>
      <c r="D208" t="str">
        <f t="shared" si="15"/>
        <v>6612</v>
      </c>
      <c r="E208">
        <v>661201</v>
      </c>
      <c r="F208" t="s">
        <v>414</v>
      </c>
      <c r="G208" t="s">
        <v>302</v>
      </c>
      <c r="J208" s="18">
        <v>557584</v>
      </c>
      <c r="K208" s="18">
        <v>1011296</v>
      </c>
    </row>
    <row r="209" spans="1:11">
      <c r="A209" t="str">
        <f t="shared" si="12"/>
        <v>6</v>
      </c>
      <c r="B209" t="str">
        <f t="shared" si="13"/>
        <v>66</v>
      </c>
      <c r="C209" t="str">
        <f t="shared" si="14"/>
        <v>661</v>
      </c>
      <c r="D209" t="str">
        <f t="shared" si="15"/>
        <v>6612</v>
      </c>
      <c r="E209">
        <v>661202</v>
      </c>
      <c r="F209" t="s">
        <v>414</v>
      </c>
      <c r="G209" t="s">
        <v>303</v>
      </c>
      <c r="J209" s="18">
        <v>31413534</v>
      </c>
      <c r="K209" s="18">
        <v>35864071</v>
      </c>
    </row>
    <row r="210" spans="1:11">
      <c r="A210" t="str">
        <f t="shared" si="12"/>
        <v>6</v>
      </c>
      <c r="B210" t="str">
        <f t="shared" si="13"/>
        <v>66</v>
      </c>
      <c r="C210" t="str">
        <f t="shared" si="14"/>
        <v>661</v>
      </c>
      <c r="D210" t="str">
        <f t="shared" si="15"/>
        <v>6612</v>
      </c>
      <c r="E210">
        <v>661210</v>
      </c>
      <c r="F210" t="s">
        <v>414</v>
      </c>
      <c r="G210" t="s">
        <v>305</v>
      </c>
      <c r="H210" s="18">
        <v>2405000</v>
      </c>
      <c r="I210" s="18">
        <v>1032333</v>
      </c>
      <c r="J210" s="18">
        <v>1381000</v>
      </c>
    </row>
    <row r="211" spans="1:11">
      <c r="A211" t="str">
        <f t="shared" si="12"/>
        <v>6</v>
      </c>
      <c r="B211" t="str">
        <f t="shared" si="13"/>
        <v>66</v>
      </c>
      <c r="C211" t="str">
        <f t="shared" si="14"/>
        <v>661</v>
      </c>
      <c r="D211" t="str">
        <f t="shared" si="15"/>
        <v>6613</v>
      </c>
      <c r="E211">
        <v>661300</v>
      </c>
      <c r="F211" t="s">
        <v>414</v>
      </c>
      <c r="G211" t="s">
        <v>306</v>
      </c>
      <c r="H211" s="18">
        <v>7542536</v>
      </c>
      <c r="I211" s="18">
        <v>2793943</v>
      </c>
      <c r="J211" s="18">
        <v>10041158</v>
      </c>
      <c r="K211" s="18">
        <v>30382564</v>
      </c>
    </row>
    <row r="212" spans="1:11">
      <c r="A212" t="str">
        <f t="shared" si="12"/>
        <v>6</v>
      </c>
      <c r="B212" t="str">
        <f t="shared" si="13"/>
        <v>66</v>
      </c>
      <c r="C212" t="str">
        <f t="shared" si="14"/>
        <v>661</v>
      </c>
      <c r="D212" t="str">
        <f t="shared" si="15"/>
        <v>6613</v>
      </c>
      <c r="E212">
        <v>661301</v>
      </c>
      <c r="F212" t="s">
        <v>414</v>
      </c>
      <c r="G212" t="s">
        <v>307</v>
      </c>
      <c r="I212" s="18">
        <v>5971850</v>
      </c>
      <c r="J212" s="18">
        <v>29254663</v>
      </c>
      <c r="K212" s="18">
        <v>15919464</v>
      </c>
    </row>
    <row r="213" spans="1:11">
      <c r="A213" t="str">
        <f t="shared" si="12"/>
        <v>6</v>
      </c>
      <c r="B213" t="str">
        <f t="shared" si="13"/>
        <v>66</v>
      </c>
      <c r="C213" t="str">
        <f t="shared" si="14"/>
        <v>661</v>
      </c>
      <c r="D213" t="str">
        <f t="shared" si="15"/>
        <v>6614</v>
      </c>
      <c r="E213">
        <v>661400</v>
      </c>
      <c r="F213" t="s">
        <v>414</v>
      </c>
      <c r="G213" t="s">
        <v>308</v>
      </c>
      <c r="I213" s="18">
        <v>4493690</v>
      </c>
      <c r="J213" s="18">
        <v>595667</v>
      </c>
      <c r="K213" s="18">
        <v>1081402</v>
      </c>
    </row>
    <row r="214" spans="1:11">
      <c r="A214" t="str">
        <f t="shared" si="12"/>
        <v>6</v>
      </c>
      <c r="B214" t="str">
        <f t="shared" si="13"/>
        <v>66</v>
      </c>
      <c r="C214" t="str">
        <f t="shared" si="14"/>
        <v>661</v>
      </c>
      <c r="D214" t="str">
        <f t="shared" si="15"/>
        <v>6617</v>
      </c>
      <c r="E214">
        <v>661700</v>
      </c>
      <c r="F214" t="s">
        <v>414</v>
      </c>
      <c r="G214" t="s">
        <v>309</v>
      </c>
      <c r="K214" s="18">
        <v>12178836</v>
      </c>
    </row>
    <row r="215" spans="1:11">
      <c r="A215" t="str">
        <f t="shared" si="12"/>
        <v>6</v>
      </c>
      <c r="B215" t="str">
        <f t="shared" si="13"/>
        <v>66</v>
      </c>
      <c r="C215" t="str">
        <f t="shared" si="14"/>
        <v>661</v>
      </c>
      <c r="D215" t="str">
        <f t="shared" si="15"/>
        <v>6618</v>
      </c>
      <c r="E215">
        <v>661800</v>
      </c>
      <c r="F215" t="s">
        <v>414</v>
      </c>
      <c r="G215" t="s">
        <v>311</v>
      </c>
      <c r="K215" s="18">
        <v>587440</v>
      </c>
    </row>
    <row r="216" spans="1:11">
      <c r="A216" t="str">
        <f t="shared" si="12"/>
        <v>6</v>
      </c>
      <c r="B216" t="str">
        <f t="shared" si="13"/>
        <v>66</v>
      </c>
      <c r="C216" t="str">
        <f t="shared" si="14"/>
        <v>663</v>
      </c>
      <c r="D216" t="str">
        <f t="shared" si="15"/>
        <v>6634</v>
      </c>
      <c r="E216">
        <v>663400</v>
      </c>
      <c r="F216" t="s">
        <v>414</v>
      </c>
      <c r="G216" t="s">
        <v>313</v>
      </c>
      <c r="H216" s="18">
        <v>9954000</v>
      </c>
      <c r="I216" s="18">
        <v>13471000</v>
      </c>
      <c r="J216" s="18">
        <v>18921000</v>
      </c>
      <c r="K216" s="18">
        <v>20923334</v>
      </c>
    </row>
    <row r="217" spans="1:11">
      <c r="A217" t="str">
        <f t="shared" si="12"/>
        <v>6</v>
      </c>
      <c r="B217" t="str">
        <f t="shared" si="13"/>
        <v>66</v>
      </c>
      <c r="C217" t="str">
        <f t="shared" si="14"/>
        <v>663</v>
      </c>
      <c r="D217" t="str">
        <f t="shared" si="15"/>
        <v>6638</v>
      </c>
      <c r="E217">
        <v>663800</v>
      </c>
      <c r="F217" t="s">
        <v>414</v>
      </c>
      <c r="G217" t="s">
        <v>315</v>
      </c>
      <c r="H217" s="18">
        <v>8513571</v>
      </c>
      <c r="I217" s="18">
        <v>14215943</v>
      </c>
      <c r="J217" s="18">
        <v>29713995</v>
      </c>
    </row>
    <row r="218" spans="1:11">
      <c r="A218" t="str">
        <f t="shared" si="12"/>
        <v>6</v>
      </c>
      <c r="B218" t="str">
        <f t="shared" si="13"/>
        <v>66</v>
      </c>
      <c r="C218" t="str">
        <f t="shared" si="14"/>
        <v>663</v>
      </c>
      <c r="D218" t="str">
        <f t="shared" si="15"/>
        <v>6638</v>
      </c>
      <c r="E218">
        <v>663801</v>
      </c>
      <c r="F218" t="s">
        <v>414</v>
      </c>
      <c r="G218" t="s">
        <v>305</v>
      </c>
      <c r="K218" s="18">
        <v>3178750</v>
      </c>
    </row>
    <row r="219" spans="1:11">
      <c r="A219" t="str">
        <f t="shared" si="12"/>
        <v>6</v>
      </c>
      <c r="B219" t="str">
        <f t="shared" si="13"/>
        <v>66</v>
      </c>
      <c r="C219" t="str">
        <f t="shared" si="14"/>
        <v>663</v>
      </c>
      <c r="D219" t="str">
        <f t="shared" si="15"/>
        <v>6638</v>
      </c>
      <c r="E219">
        <v>663802</v>
      </c>
      <c r="F219" t="s">
        <v>414</v>
      </c>
      <c r="G219" t="s">
        <v>316</v>
      </c>
      <c r="K219" s="18">
        <v>811128</v>
      </c>
    </row>
    <row r="220" spans="1:11">
      <c r="A220" t="str">
        <f t="shared" si="12"/>
        <v>6</v>
      </c>
      <c r="B220" t="str">
        <f t="shared" si="13"/>
        <v>66</v>
      </c>
      <c r="C220" t="str">
        <f t="shared" si="14"/>
        <v>663</v>
      </c>
      <c r="D220" t="str">
        <f t="shared" si="15"/>
        <v>6638</v>
      </c>
      <c r="E220">
        <v>663803</v>
      </c>
      <c r="F220" t="s">
        <v>414</v>
      </c>
      <c r="G220" t="s">
        <v>317</v>
      </c>
      <c r="K220" s="18">
        <v>35736668</v>
      </c>
    </row>
    <row r="221" spans="1:11">
      <c r="A221" t="str">
        <f t="shared" si="12"/>
        <v>6</v>
      </c>
      <c r="B221" t="str">
        <f t="shared" si="13"/>
        <v>66</v>
      </c>
      <c r="C221" t="str">
        <f t="shared" si="14"/>
        <v>663</v>
      </c>
      <c r="D221" t="str">
        <f t="shared" si="15"/>
        <v>6638</v>
      </c>
      <c r="E221">
        <v>663804</v>
      </c>
      <c r="F221" t="s">
        <v>414</v>
      </c>
      <c r="G221" t="s">
        <v>318</v>
      </c>
      <c r="K221" s="18">
        <v>705500</v>
      </c>
    </row>
    <row r="222" spans="1:11">
      <c r="A222" t="str">
        <f t="shared" si="12"/>
        <v>6</v>
      </c>
      <c r="B222" t="str">
        <f t="shared" si="13"/>
        <v>66</v>
      </c>
      <c r="C222" t="str">
        <f t="shared" si="14"/>
        <v>664</v>
      </c>
      <c r="D222" t="str">
        <f t="shared" si="15"/>
        <v>6641</v>
      </c>
      <c r="E222">
        <v>664100</v>
      </c>
      <c r="F222" t="s">
        <v>414</v>
      </c>
      <c r="G222" t="s">
        <v>320</v>
      </c>
      <c r="H222" s="18">
        <v>13844610</v>
      </c>
      <c r="I222" s="18">
        <v>20620301</v>
      </c>
      <c r="J222" s="18">
        <v>43836460</v>
      </c>
      <c r="K222" s="18">
        <v>52409569</v>
      </c>
    </row>
    <row r="223" spans="1:11">
      <c r="A223" t="str">
        <f t="shared" si="12"/>
        <v>6</v>
      </c>
      <c r="B223" t="str">
        <f t="shared" ref="B223:B251" si="16">LEFT(C223,2)</f>
        <v>66</v>
      </c>
      <c r="C223" t="str">
        <f t="shared" si="14"/>
        <v>664</v>
      </c>
      <c r="D223" t="str">
        <f t="shared" si="15"/>
        <v>6648</v>
      </c>
      <c r="E223">
        <v>664800</v>
      </c>
      <c r="F223" t="s">
        <v>414</v>
      </c>
      <c r="G223" t="s">
        <v>72</v>
      </c>
      <c r="K223" s="18">
        <v>4519016</v>
      </c>
    </row>
    <row r="224" spans="1:11">
      <c r="A224" t="str">
        <f t="shared" si="12"/>
        <v>6</v>
      </c>
      <c r="B224" t="str">
        <f t="shared" si="16"/>
        <v>66</v>
      </c>
      <c r="C224" t="str">
        <f t="shared" si="14"/>
        <v>667</v>
      </c>
      <c r="D224" t="str">
        <f t="shared" si="15"/>
        <v>6672</v>
      </c>
      <c r="E224">
        <v>667200</v>
      </c>
      <c r="F224" t="s">
        <v>414</v>
      </c>
      <c r="G224" t="s">
        <v>321</v>
      </c>
      <c r="J224" s="18">
        <v>1342000</v>
      </c>
      <c r="K224" s="18">
        <v>870600</v>
      </c>
    </row>
    <row r="225" spans="1:11">
      <c r="A225" t="str">
        <f t="shared" si="12"/>
        <v>6</v>
      </c>
      <c r="B225" t="str">
        <f t="shared" si="16"/>
        <v>66</v>
      </c>
      <c r="C225" t="str">
        <f t="shared" si="14"/>
        <v>668</v>
      </c>
      <c r="D225" t="str">
        <f t="shared" si="15"/>
        <v>6684</v>
      </c>
      <c r="E225">
        <v>668400</v>
      </c>
      <c r="F225" t="s">
        <v>414</v>
      </c>
      <c r="G225" t="s">
        <v>322</v>
      </c>
      <c r="J225" s="18">
        <v>494600</v>
      </c>
      <c r="K225" s="18">
        <v>160000</v>
      </c>
    </row>
    <row r="226" spans="1:11">
      <c r="A226" t="str">
        <f t="shared" si="12"/>
        <v>6</v>
      </c>
      <c r="B226" t="str">
        <f t="shared" si="16"/>
        <v>66</v>
      </c>
      <c r="C226" t="str">
        <f t="shared" si="14"/>
        <v>668</v>
      </c>
      <c r="D226" t="str">
        <f t="shared" si="15"/>
        <v>6685</v>
      </c>
      <c r="E226">
        <v>668500</v>
      </c>
      <c r="F226" t="s">
        <v>414</v>
      </c>
      <c r="G226" t="s">
        <v>323</v>
      </c>
      <c r="H226" s="18">
        <v>9786000</v>
      </c>
      <c r="J226" s="18">
        <v>17947735</v>
      </c>
      <c r="K226" s="18">
        <v>10922836</v>
      </c>
    </row>
    <row r="227" spans="1:11">
      <c r="A227" t="str">
        <f t="shared" si="12"/>
        <v>6</v>
      </c>
      <c r="B227" t="str">
        <f t="shared" si="16"/>
        <v>66</v>
      </c>
      <c r="C227" t="str">
        <f t="shared" si="14"/>
        <v>668</v>
      </c>
      <c r="D227" t="str">
        <f t="shared" si="15"/>
        <v>6685</v>
      </c>
      <c r="E227">
        <v>668501</v>
      </c>
      <c r="F227" t="s">
        <v>414</v>
      </c>
      <c r="G227" t="s">
        <v>324</v>
      </c>
      <c r="J227" s="18">
        <v>96000</v>
      </c>
      <c r="K227" s="18">
        <v>1059000</v>
      </c>
    </row>
    <row r="228" spans="1:11">
      <c r="A228" t="str">
        <f t="shared" si="12"/>
        <v>6</v>
      </c>
      <c r="B228" t="str">
        <f t="shared" si="16"/>
        <v>66</v>
      </c>
      <c r="C228" t="str">
        <f t="shared" si="14"/>
        <v>668</v>
      </c>
      <c r="D228" t="str">
        <f t="shared" si="15"/>
        <v>6687</v>
      </c>
      <c r="E228">
        <v>668700</v>
      </c>
      <c r="F228" t="s">
        <v>414</v>
      </c>
      <c r="G228" t="s">
        <v>326</v>
      </c>
      <c r="I228" s="18">
        <v>1725275</v>
      </c>
    </row>
    <row r="229" spans="1:11">
      <c r="A229" t="str">
        <f t="shared" si="12"/>
        <v>6</v>
      </c>
      <c r="B229" t="str">
        <f t="shared" si="16"/>
        <v>67</v>
      </c>
      <c r="C229" t="str">
        <f t="shared" si="14"/>
        <v>671</v>
      </c>
      <c r="D229" t="str">
        <f t="shared" si="15"/>
        <v>6712</v>
      </c>
      <c r="E229">
        <v>671200</v>
      </c>
      <c r="F229" s="5" t="s">
        <v>415</v>
      </c>
      <c r="G229" t="s">
        <v>14</v>
      </c>
      <c r="H229" s="18">
        <v>2070496</v>
      </c>
      <c r="I229" s="18">
        <v>29738811</v>
      </c>
      <c r="J229" s="18">
        <v>4571785</v>
      </c>
      <c r="K229" s="18">
        <v>16681012</v>
      </c>
    </row>
    <row r="230" spans="1:11">
      <c r="A230" t="str">
        <f t="shared" si="12"/>
        <v>6</v>
      </c>
      <c r="B230" t="str">
        <f t="shared" si="16"/>
        <v>67</v>
      </c>
      <c r="C230" t="str">
        <f t="shared" si="14"/>
        <v>672</v>
      </c>
      <c r="D230" t="str">
        <f t="shared" si="15"/>
        <v>6723</v>
      </c>
      <c r="E230">
        <v>672300</v>
      </c>
      <c r="F230" t="s">
        <v>416</v>
      </c>
      <c r="G230" t="s">
        <v>327</v>
      </c>
      <c r="H230" s="18">
        <v>783161</v>
      </c>
      <c r="I230" s="18">
        <v>437145</v>
      </c>
      <c r="J230" s="18">
        <v>1822936</v>
      </c>
      <c r="K230" s="18">
        <v>1329093</v>
      </c>
    </row>
    <row r="231" spans="1:11">
      <c r="A231" t="str">
        <f t="shared" si="12"/>
        <v>6</v>
      </c>
      <c r="B231" t="str">
        <f t="shared" si="16"/>
        <v>67</v>
      </c>
      <c r="C231" t="str">
        <f t="shared" si="14"/>
        <v>674</v>
      </c>
      <c r="D231" t="str">
        <f t="shared" si="15"/>
        <v>6745</v>
      </c>
      <c r="E231">
        <v>674500</v>
      </c>
      <c r="F231" t="s">
        <v>417</v>
      </c>
      <c r="G231" t="s">
        <v>328</v>
      </c>
      <c r="H231" s="18">
        <v>17500</v>
      </c>
      <c r="I231" s="18">
        <v>2874629</v>
      </c>
      <c r="J231" s="18">
        <v>11983</v>
      </c>
      <c r="K231" s="18">
        <v>4253750</v>
      </c>
    </row>
    <row r="232" spans="1:11">
      <c r="A232" t="str">
        <f t="shared" si="12"/>
        <v>6</v>
      </c>
      <c r="B232" t="str">
        <f t="shared" si="16"/>
        <v>68</v>
      </c>
      <c r="C232" t="str">
        <f t="shared" si="14"/>
        <v>681</v>
      </c>
      <c r="D232" t="str">
        <f t="shared" si="15"/>
        <v>6812</v>
      </c>
      <c r="E232">
        <v>681200</v>
      </c>
      <c r="F232" s="124" t="s">
        <v>418</v>
      </c>
      <c r="G232" t="s">
        <v>329</v>
      </c>
      <c r="K232" s="18">
        <v>269444</v>
      </c>
    </row>
    <row r="233" spans="1:11">
      <c r="A233" t="str">
        <f t="shared" si="12"/>
        <v>6</v>
      </c>
      <c r="B233" t="str">
        <f t="shared" si="16"/>
        <v>68</v>
      </c>
      <c r="C233" t="str">
        <f t="shared" si="14"/>
        <v>681</v>
      </c>
      <c r="D233" t="str">
        <f t="shared" si="15"/>
        <v>6813</v>
      </c>
      <c r="E233">
        <v>681300</v>
      </c>
      <c r="F233" t="s">
        <v>418</v>
      </c>
      <c r="G233" t="s">
        <v>331</v>
      </c>
      <c r="H233" s="18">
        <v>5988636</v>
      </c>
      <c r="I233" s="18">
        <v>13900432</v>
      </c>
      <c r="J233" s="18">
        <v>38522454</v>
      </c>
      <c r="K233" s="18">
        <v>22543536</v>
      </c>
    </row>
    <row r="234" spans="1:11">
      <c r="A234" t="str">
        <f t="shared" si="12"/>
        <v>6</v>
      </c>
      <c r="B234" t="str">
        <f t="shared" si="16"/>
        <v>69</v>
      </c>
      <c r="C234" t="str">
        <f t="shared" si="14"/>
        <v>691</v>
      </c>
      <c r="D234" t="str">
        <f t="shared" si="15"/>
        <v>6911</v>
      </c>
      <c r="E234">
        <v>691100</v>
      </c>
      <c r="F234" t="s">
        <v>419</v>
      </c>
      <c r="G234" t="s">
        <v>332</v>
      </c>
      <c r="H234" s="18">
        <v>4359763</v>
      </c>
      <c r="I234" s="18">
        <v>3134034</v>
      </c>
      <c r="J234" s="18">
        <v>10620691</v>
      </c>
      <c r="K234" s="18">
        <v>13732285</v>
      </c>
    </row>
    <row r="235" spans="1:11">
      <c r="A235" t="str">
        <f t="shared" si="12"/>
        <v>7</v>
      </c>
      <c r="B235" t="str">
        <f t="shared" si="16"/>
        <v>70</v>
      </c>
      <c r="C235" t="str">
        <f t="shared" si="14"/>
        <v>701</v>
      </c>
      <c r="D235" t="str">
        <f t="shared" si="15"/>
        <v>7011</v>
      </c>
      <c r="E235">
        <v>701100</v>
      </c>
      <c r="F235" t="s">
        <v>420</v>
      </c>
      <c r="G235" t="s">
        <v>334</v>
      </c>
      <c r="H235" s="18">
        <v>-121069100</v>
      </c>
      <c r="I235" s="18">
        <v>-322516156</v>
      </c>
      <c r="J235" s="18">
        <v>-333878261</v>
      </c>
      <c r="K235" s="18">
        <v>-1272867468</v>
      </c>
    </row>
    <row r="236" spans="1:11">
      <c r="A236" t="str">
        <f t="shared" si="12"/>
        <v>7</v>
      </c>
      <c r="B236" t="str">
        <f t="shared" si="16"/>
        <v>70</v>
      </c>
      <c r="C236" t="str">
        <f t="shared" si="14"/>
        <v>706</v>
      </c>
      <c r="D236" t="str">
        <f t="shared" si="15"/>
        <v>7061</v>
      </c>
      <c r="E236">
        <v>706100</v>
      </c>
      <c r="F236" t="s">
        <v>421</v>
      </c>
      <c r="G236" t="s">
        <v>336</v>
      </c>
      <c r="H236" s="18">
        <v>-754763125</v>
      </c>
      <c r="I236" s="18">
        <v>-647962770</v>
      </c>
      <c r="J236" s="18">
        <v>-894843708</v>
      </c>
      <c r="K236" s="18">
        <v>-802873383</v>
      </c>
    </row>
    <row r="237" spans="1:11">
      <c r="A237" t="str">
        <f t="shared" si="12"/>
        <v>7</v>
      </c>
      <c r="B237" t="str">
        <f t="shared" si="16"/>
        <v>72</v>
      </c>
      <c r="C237" t="str">
        <f t="shared" si="14"/>
        <v>721</v>
      </c>
      <c r="D237" t="str">
        <f t="shared" si="15"/>
        <v>7210</v>
      </c>
      <c r="E237">
        <v>721000</v>
      </c>
      <c r="F237" t="s">
        <v>422</v>
      </c>
      <c r="G237" t="s">
        <v>337</v>
      </c>
      <c r="I237" s="18">
        <v>-116449580</v>
      </c>
      <c r="J237" s="18">
        <v>-67687712</v>
      </c>
      <c r="K237" s="18">
        <v>-61469596</v>
      </c>
    </row>
    <row r="238" spans="1:11">
      <c r="A238" t="str">
        <f t="shared" si="12"/>
        <v>7</v>
      </c>
      <c r="B238" t="str">
        <f t="shared" si="16"/>
        <v>75</v>
      </c>
      <c r="C238" t="str">
        <f t="shared" si="14"/>
        <v>751</v>
      </c>
      <c r="D238" t="str">
        <f t="shared" si="15"/>
        <v>7510</v>
      </c>
      <c r="E238">
        <v>751000</v>
      </c>
      <c r="F238" t="s">
        <v>423</v>
      </c>
      <c r="G238" t="s">
        <v>338</v>
      </c>
      <c r="H238" s="18">
        <v>-1250001</v>
      </c>
      <c r="I238" s="18">
        <v>-1406994</v>
      </c>
    </row>
    <row r="239" spans="1:11">
      <c r="A239" t="str">
        <f t="shared" si="12"/>
        <v>7</v>
      </c>
      <c r="B239" t="str">
        <f t="shared" si="16"/>
        <v>75</v>
      </c>
      <c r="C239" t="str">
        <f t="shared" si="14"/>
        <v>756</v>
      </c>
      <c r="D239" t="str">
        <f t="shared" si="15"/>
        <v>7560</v>
      </c>
      <c r="E239">
        <v>756000</v>
      </c>
      <c r="F239" t="s">
        <v>423</v>
      </c>
      <c r="G239" t="s">
        <v>340</v>
      </c>
      <c r="H239" s="18">
        <v>-5751</v>
      </c>
      <c r="I239" s="18">
        <v>-326482</v>
      </c>
      <c r="J239" s="18">
        <v>-301603</v>
      </c>
      <c r="K239" s="18">
        <v>-2951105</v>
      </c>
    </row>
    <row r="240" spans="1:11">
      <c r="A240" t="str">
        <f t="shared" si="12"/>
        <v>7</v>
      </c>
      <c r="B240" t="str">
        <f t="shared" si="16"/>
        <v>75</v>
      </c>
      <c r="C240" t="str">
        <f t="shared" si="14"/>
        <v>758</v>
      </c>
      <c r="D240" t="str">
        <f t="shared" si="15"/>
        <v>7580</v>
      </c>
      <c r="E240">
        <v>758000</v>
      </c>
      <c r="F240" t="s">
        <v>423</v>
      </c>
      <c r="G240" t="s">
        <v>341</v>
      </c>
      <c r="J240" s="18">
        <v>-1002561</v>
      </c>
    </row>
    <row r="241" spans="1:11">
      <c r="A241" t="str">
        <f t="shared" si="12"/>
        <v>7</v>
      </c>
      <c r="B241" t="str">
        <f t="shared" si="16"/>
        <v>75</v>
      </c>
      <c r="C241" t="str">
        <f t="shared" si="14"/>
        <v>758</v>
      </c>
      <c r="D241" t="str">
        <f t="shared" si="15"/>
        <v>7588</v>
      </c>
      <c r="E241">
        <v>758800</v>
      </c>
      <c r="F241" t="s">
        <v>423</v>
      </c>
      <c r="G241" t="s">
        <v>343</v>
      </c>
      <c r="K241" s="18">
        <v>-3529000</v>
      </c>
    </row>
    <row r="242" spans="1:11">
      <c r="A242" t="str">
        <f t="shared" si="12"/>
        <v>7</v>
      </c>
      <c r="B242" t="str">
        <f t="shared" si="16"/>
        <v>77</v>
      </c>
      <c r="C242" t="str">
        <f t="shared" si="14"/>
        <v>771</v>
      </c>
      <c r="D242" t="str">
        <f t="shared" si="15"/>
        <v>7713</v>
      </c>
      <c r="E242">
        <v>771300</v>
      </c>
      <c r="F242" t="s">
        <v>423</v>
      </c>
      <c r="G242" t="s">
        <v>344</v>
      </c>
      <c r="K242" s="18">
        <v>-700000</v>
      </c>
    </row>
    <row r="243" spans="1:11">
      <c r="A243" t="str">
        <f t="shared" si="12"/>
        <v>7</v>
      </c>
      <c r="B243" t="str">
        <f t="shared" si="16"/>
        <v>77</v>
      </c>
      <c r="C243" t="str">
        <f t="shared" si="14"/>
        <v>774</v>
      </c>
      <c r="D243" t="str">
        <f t="shared" si="15"/>
        <v>7740</v>
      </c>
      <c r="E243">
        <v>774000</v>
      </c>
      <c r="F243" t="s">
        <v>424</v>
      </c>
      <c r="G243" t="s">
        <v>345</v>
      </c>
      <c r="H243" s="18">
        <v>-350000</v>
      </c>
      <c r="I243" s="18">
        <v>-175000</v>
      </c>
    </row>
    <row r="244" spans="1:11">
      <c r="A244" t="str">
        <f t="shared" si="12"/>
        <v>7</v>
      </c>
      <c r="B244" t="str">
        <f t="shared" si="16"/>
        <v>77</v>
      </c>
      <c r="C244" t="str">
        <f t="shared" si="14"/>
        <v>776</v>
      </c>
      <c r="D244" t="str">
        <f t="shared" si="15"/>
        <v>7760</v>
      </c>
      <c r="E244">
        <v>776000</v>
      </c>
      <c r="F244" t="s">
        <v>424</v>
      </c>
      <c r="G244" t="s">
        <v>347</v>
      </c>
      <c r="I244" s="18">
        <v>-39357</v>
      </c>
    </row>
    <row r="245" spans="1:11">
      <c r="A245" t="str">
        <f t="shared" si="12"/>
        <v>7</v>
      </c>
      <c r="B245" t="str">
        <f t="shared" si="16"/>
        <v>78</v>
      </c>
      <c r="C245" t="str">
        <f t="shared" si="14"/>
        <v>781</v>
      </c>
      <c r="D245" t="str">
        <f t="shared" si="15"/>
        <v>7810</v>
      </c>
      <c r="E245">
        <v>781000</v>
      </c>
      <c r="F245" s="124" t="s">
        <v>425</v>
      </c>
      <c r="G245" t="s">
        <v>349</v>
      </c>
      <c r="K245" s="18">
        <v>-23101672</v>
      </c>
    </row>
    <row r="246" spans="1:11">
      <c r="A246" t="str">
        <f t="shared" si="12"/>
        <v>7</v>
      </c>
      <c r="B246" t="str">
        <f t="shared" si="16"/>
        <v>79</v>
      </c>
      <c r="C246" t="str">
        <f t="shared" si="14"/>
        <v>791</v>
      </c>
      <c r="D246" t="str">
        <f t="shared" si="15"/>
        <v>7911</v>
      </c>
      <c r="E246">
        <v>791100</v>
      </c>
      <c r="F246" t="s">
        <v>419</v>
      </c>
      <c r="G246" t="s">
        <v>332</v>
      </c>
      <c r="J246" s="18">
        <v>-7493797</v>
      </c>
    </row>
    <row r="247" spans="1:11">
      <c r="A247" t="str">
        <f t="shared" si="12"/>
        <v>8</v>
      </c>
      <c r="B247" t="str">
        <f t="shared" si="16"/>
        <v>81</v>
      </c>
      <c r="C247" t="str">
        <f t="shared" si="14"/>
        <v>812</v>
      </c>
      <c r="D247" t="str">
        <f t="shared" si="15"/>
        <v>8120</v>
      </c>
      <c r="E247">
        <v>812000</v>
      </c>
      <c r="F247" s="124" t="s">
        <v>425</v>
      </c>
      <c r="G247" t="s">
        <v>350</v>
      </c>
      <c r="K247" s="18">
        <v>1856697</v>
      </c>
    </row>
    <row r="248" spans="1:11">
      <c r="A248" t="str">
        <f t="shared" si="12"/>
        <v>8</v>
      </c>
      <c r="B248" t="str">
        <f t="shared" si="16"/>
        <v>83</v>
      </c>
      <c r="C248" t="str">
        <f t="shared" si="14"/>
        <v>831</v>
      </c>
      <c r="D248" t="str">
        <f t="shared" si="15"/>
        <v>8310</v>
      </c>
      <c r="E248">
        <v>831000</v>
      </c>
      <c r="F248" t="s">
        <v>425</v>
      </c>
      <c r="G248" t="s">
        <v>352</v>
      </c>
      <c r="I248" s="18">
        <v>27252890</v>
      </c>
      <c r="J248" s="18">
        <v>622413</v>
      </c>
      <c r="K248" s="18">
        <v>49730130</v>
      </c>
    </row>
    <row r="249" spans="1:11">
      <c r="A249" t="str">
        <f t="shared" si="12"/>
        <v>8</v>
      </c>
      <c r="B249" t="str">
        <f t="shared" si="16"/>
        <v>84</v>
      </c>
      <c r="C249" t="str">
        <f t="shared" si="14"/>
        <v>841</v>
      </c>
      <c r="D249" t="str">
        <f t="shared" si="15"/>
        <v>8410</v>
      </c>
      <c r="E249">
        <v>841000</v>
      </c>
      <c r="F249" t="s">
        <v>425</v>
      </c>
      <c r="G249" t="s">
        <v>354</v>
      </c>
      <c r="I249" s="18">
        <v>-232024408</v>
      </c>
      <c r="J249" s="18">
        <v>-50111684</v>
      </c>
      <c r="K249" s="18">
        <v>-49196194</v>
      </c>
    </row>
    <row r="250" spans="1:11">
      <c r="A250" t="str">
        <f t="shared" si="12"/>
        <v>8</v>
      </c>
      <c r="B250" t="str">
        <f t="shared" si="16"/>
        <v>84</v>
      </c>
      <c r="C250" t="str">
        <f t="shared" si="14"/>
        <v>846</v>
      </c>
      <c r="D250" t="str">
        <f t="shared" si="15"/>
        <v>8460</v>
      </c>
      <c r="E250">
        <v>846000</v>
      </c>
      <c r="F250" t="s">
        <v>425</v>
      </c>
      <c r="G250" t="s">
        <v>356</v>
      </c>
      <c r="K250" s="18">
        <v>-65765001</v>
      </c>
    </row>
    <row r="251" spans="1:11">
      <c r="A251" t="str">
        <f t="shared" si="12"/>
        <v>8</v>
      </c>
      <c r="B251" t="str">
        <f t="shared" si="16"/>
        <v>89</v>
      </c>
      <c r="C251" t="str">
        <f t="shared" si="14"/>
        <v>891</v>
      </c>
      <c r="D251" t="str">
        <f t="shared" si="15"/>
        <v>8911</v>
      </c>
      <c r="E251">
        <v>891100</v>
      </c>
      <c r="F251" t="s">
        <v>425</v>
      </c>
      <c r="G251" t="s">
        <v>358</v>
      </c>
      <c r="H251" s="18">
        <v>9600000</v>
      </c>
      <c r="I251" s="18">
        <v>9493000</v>
      </c>
      <c r="J251" s="18">
        <v>12172250</v>
      </c>
      <c r="K251" s="18">
        <v>32412250</v>
      </c>
    </row>
    <row r="252" spans="1:11">
      <c r="A252" t="str">
        <f t="shared" si="12"/>
        <v/>
      </c>
      <c r="B252" t="str">
        <f t="shared" ref="B252" si="17">LEFT(C252,2)</f>
        <v/>
      </c>
      <c r="C252" t="str">
        <f t="shared" si="14"/>
        <v/>
      </c>
      <c r="D252" t="str">
        <f t="shared" si="15"/>
        <v/>
      </c>
      <c r="H252"/>
      <c r="I252"/>
      <c r="J252"/>
    </row>
  </sheetData>
  <autoFilter ref="A3:K252" xr:uid="{00000000-0001-0000-1700-000000000000}"/>
  <pageMargins left="0.7" right="0.7" top="0.75" bottom="0.75" header="0.3" footer="0.3"/>
  <customProperties>
    <customPr name="AreLinksHighlight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1"/>
  </sheetPr>
  <dimension ref="A1:O180"/>
  <sheetViews>
    <sheetView showGridLines="0" topLeftCell="A154" workbookViewId="0">
      <selection activeCell="B171" sqref="B171:C172"/>
    </sheetView>
  </sheetViews>
  <sheetFormatPr baseColWidth="10" defaultColWidth="11.3984375" defaultRowHeight="11.5"/>
  <cols>
    <col min="1" max="1" width="27" customWidth="1"/>
    <col min="7" max="7" width="26.09765625" customWidth="1"/>
    <col min="8" max="9" width="13.59765625" style="18" bestFit="1" customWidth="1"/>
    <col min="10" max="10" width="12.09765625" style="18" bestFit="1" customWidth="1"/>
  </cols>
  <sheetData>
    <row r="1" spans="1:10">
      <c r="A1" s="16" t="s">
        <v>364</v>
      </c>
      <c r="B1" s="16" t="s">
        <v>478</v>
      </c>
      <c r="C1" s="16" t="s">
        <v>479</v>
      </c>
      <c r="D1" s="16" t="s">
        <v>480</v>
      </c>
      <c r="E1" s="16" t="s">
        <v>481</v>
      </c>
      <c r="F1" s="107" t="s">
        <v>0</v>
      </c>
      <c r="G1" s="16" t="s">
        <v>1</v>
      </c>
      <c r="H1" s="157" t="s">
        <v>366</v>
      </c>
      <c r="I1" s="157" t="s">
        <v>367</v>
      </c>
      <c r="J1" s="157" t="s">
        <v>482</v>
      </c>
    </row>
    <row r="2" spans="1:10">
      <c r="A2" t="s">
        <v>369</v>
      </c>
      <c r="B2" t="str">
        <f>LEFT(C2,1)</f>
        <v>1</v>
      </c>
      <c r="C2" t="str">
        <f>LEFT(D2,2)</f>
        <v>10</v>
      </c>
      <c r="D2">
        <f>_xlfn.NUMBERVALUE(LEFT(E2,3))</f>
        <v>101</v>
      </c>
      <c r="E2">
        <f>_xlfn.NUMBERVALUE(LEFT(F2,4))</f>
        <v>1013</v>
      </c>
      <c r="F2" s="108">
        <v>101310</v>
      </c>
      <c r="G2" s="109" t="s">
        <v>483</v>
      </c>
      <c r="H2" s="158">
        <v>-8500000</v>
      </c>
      <c r="I2" s="158">
        <v>-8500000</v>
      </c>
      <c r="J2" s="159">
        <v>-8500000</v>
      </c>
    </row>
    <row r="3" spans="1:10">
      <c r="A3" t="s">
        <v>369</v>
      </c>
      <c r="B3" t="str">
        <f t="shared" ref="B3:B66" si="0">LEFT(C3,1)</f>
        <v>1</v>
      </c>
      <c r="C3" t="str">
        <f t="shared" ref="C3:C66" si="1">LEFT(D3,2)</f>
        <v>10</v>
      </c>
      <c r="D3">
        <f t="shared" ref="D3:D66" si="2">_xlfn.NUMBERVALUE(LEFT(E3,3))</f>
        <v>101</v>
      </c>
      <c r="E3">
        <f t="shared" ref="E3:E66" si="3">_xlfn.NUMBERVALUE(LEFT(F3,4))</f>
        <v>1013</v>
      </c>
      <c r="F3" s="108" t="s">
        <v>484</v>
      </c>
      <c r="G3" s="109" t="s">
        <v>485</v>
      </c>
      <c r="H3" s="158">
        <v>-1000000</v>
      </c>
      <c r="I3" s="158">
        <v>-1000000</v>
      </c>
      <c r="J3" s="159">
        <v>-1000000</v>
      </c>
    </row>
    <row r="4" spans="1:10">
      <c r="A4" t="s">
        <v>369</v>
      </c>
      <c r="B4" t="str">
        <f t="shared" si="0"/>
        <v>1</v>
      </c>
      <c r="C4" t="str">
        <f t="shared" si="1"/>
        <v>10</v>
      </c>
      <c r="D4">
        <f t="shared" si="2"/>
        <v>101</v>
      </c>
      <c r="E4">
        <f t="shared" si="3"/>
        <v>1013</v>
      </c>
      <c r="F4" s="108" t="s">
        <v>486</v>
      </c>
      <c r="G4" s="109" t="s">
        <v>487</v>
      </c>
      <c r="H4" s="158">
        <v>-500000</v>
      </c>
      <c r="I4" s="158">
        <v>-500000</v>
      </c>
      <c r="J4" s="159">
        <v>-500000</v>
      </c>
    </row>
    <row r="5" spans="1:10">
      <c r="A5" t="s">
        <v>370</v>
      </c>
      <c r="B5" t="str">
        <f t="shared" si="0"/>
        <v>1</v>
      </c>
      <c r="C5" t="str">
        <f t="shared" si="1"/>
        <v>11</v>
      </c>
      <c r="D5">
        <f t="shared" si="2"/>
        <v>111</v>
      </c>
      <c r="E5">
        <f t="shared" si="3"/>
        <v>1110</v>
      </c>
      <c r="F5" s="108" t="s">
        <v>3</v>
      </c>
      <c r="G5" s="109" t="s">
        <v>4</v>
      </c>
      <c r="H5" s="158">
        <v>0</v>
      </c>
      <c r="I5" s="158">
        <v>-353151</v>
      </c>
      <c r="J5" s="159">
        <v>-1097948</v>
      </c>
    </row>
    <row r="6" spans="1:10">
      <c r="A6" t="s">
        <v>372</v>
      </c>
      <c r="B6" t="str">
        <f t="shared" si="0"/>
        <v>1</v>
      </c>
      <c r="C6" t="str">
        <f t="shared" si="1"/>
        <v>12</v>
      </c>
      <c r="D6">
        <f t="shared" si="2"/>
        <v>121</v>
      </c>
      <c r="E6">
        <f t="shared" si="3"/>
        <v>1210</v>
      </c>
      <c r="F6" s="108" t="s">
        <v>488</v>
      </c>
      <c r="G6" s="109" t="s">
        <v>6</v>
      </c>
      <c r="H6" s="158">
        <v>-741664</v>
      </c>
      <c r="I6" s="158">
        <v>-3849388</v>
      </c>
      <c r="J6" s="159">
        <v>-10403598</v>
      </c>
    </row>
    <row r="7" spans="1:10">
      <c r="A7" t="s">
        <v>372</v>
      </c>
      <c r="B7" t="str">
        <f t="shared" si="0"/>
        <v>1</v>
      </c>
      <c r="C7" t="str">
        <f t="shared" si="1"/>
        <v>12</v>
      </c>
      <c r="D7">
        <f t="shared" si="2"/>
        <v>129</v>
      </c>
      <c r="E7">
        <f t="shared" si="3"/>
        <v>1291</v>
      </c>
      <c r="F7" s="108" t="s">
        <v>7</v>
      </c>
      <c r="G7" s="109" t="s">
        <v>8</v>
      </c>
      <c r="H7" s="158">
        <v>0</v>
      </c>
      <c r="I7" s="158">
        <v>0</v>
      </c>
      <c r="J7" s="159">
        <v>0</v>
      </c>
    </row>
    <row r="8" spans="1:10">
      <c r="A8" t="s">
        <v>373</v>
      </c>
      <c r="B8" t="str">
        <f t="shared" si="0"/>
        <v>1</v>
      </c>
      <c r="C8" t="str">
        <f t="shared" si="1"/>
        <v>13</v>
      </c>
      <c r="D8">
        <f t="shared" si="2"/>
        <v>130</v>
      </c>
      <c r="E8">
        <f t="shared" si="3"/>
        <v>1301</v>
      </c>
      <c r="F8" s="108" t="s">
        <v>10</v>
      </c>
      <c r="G8" s="109" t="s">
        <v>11</v>
      </c>
      <c r="H8" s="158">
        <v>0</v>
      </c>
      <c r="I8" s="158">
        <v>0</v>
      </c>
      <c r="J8" s="159">
        <v>0</v>
      </c>
    </row>
    <row r="9" spans="1:10">
      <c r="A9" t="s">
        <v>374</v>
      </c>
      <c r="B9" t="str">
        <f t="shared" si="0"/>
        <v>1</v>
      </c>
      <c r="C9" t="str">
        <f t="shared" si="1"/>
        <v>16</v>
      </c>
      <c r="D9">
        <f t="shared" si="2"/>
        <v>162</v>
      </c>
      <c r="E9">
        <f t="shared" si="3"/>
        <v>1620</v>
      </c>
      <c r="F9" s="108" t="s">
        <v>13</v>
      </c>
      <c r="G9" s="109" t="s">
        <v>489</v>
      </c>
      <c r="H9" s="158">
        <v>0</v>
      </c>
      <c r="I9" s="158">
        <v>0</v>
      </c>
      <c r="J9" s="159">
        <v>0</v>
      </c>
    </row>
    <row r="10" spans="1:10">
      <c r="A10" s="45" t="s">
        <v>378</v>
      </c>
      <c r="B10" t="str">
        <f t="shared" si="0"/>
        <v>2</v>
      </c>
      <c r="C10" t="str">
        <f t="shared" si="1"/>
        <v>23</v>
      </c>
      <c r="D10">
        <f t="shared" si="2"/>
        <v>235</v>
      </c>
      <c r="E10">
        <f t="shared" si="3"/>
        <v>2351</v>
      </c>
      <c r="F10" s="108" t="s">
        <v>26</v>
      </c>
      <c r="G10" s="109" t="s">
        <v>27</v>
      </c>
      <c r="H10" s="158">
        <v>4082500</v>
      </c>
      <c r="I10" s="158">
        <v>4082500</v>
      </c>
      <c r="J10" s="159">
        <v>4082500</v>
      </c>
    </row>
    <row r="11" spans="1:10">
      <c r="A11" t="s">
        <v>379</v>
      </c>
      <c r="B11" t="str">
        <f t="shared" si="0"/>
        <v>2</v>
      </c>
      <c r="C11" t="str">
        <f t="shared" si="1"/>
        <v>24</v>
      </c>
      <c r="D11">
        <f t="shared" si="2"/>
        <v>244</v>
      </c>
      <c r="E11">
        <f t="shared" si="3"/>
        <v>2441</v>
      </c>
      <c r="F11" s="108" t="s">
        <v>29</v>
      </c>
      <c r="G11" s="109" t="s">
        <v>30</v>
      </c>
      <c r="H11" s="158">
        <v>5409052</v>
      </c>
      <c r="I11" s="158">
        <v>6241052</v>
      </c>
      <c r="J11" s="159">
        <v>3959052</v>
      </c>
    </row>
    <row r="12" spans="1:10">
      <c r="A12" t="s">
        <v>32</v>
      </c>
      <c r="B12" t="str">
        <f t="shared" si="0"/>
        <v>2</v>
      </c>
      <c r="C12" t="str">
        <f t="shared" si="1"/>
        <v>24</v>
      </c>
      <c r="D12">
        <f t="shared" si="2"/>
        <v>244</v>
      </c>
      <c r="E12">
        <f t="shared" si="3"/>
        <v>2442</v>
      </c>
      <c r="F12" s="108" t="s">
        <v>31</v>
      </c>
      <c r="G12" s="109" t="s">
        <v>32</v>
      </c>
      <c r="H12" s="158">
        <v>2128480</v>
      </c>
      <c r="I12" s="158">
        <v>2208480</v>
      </c>
      <c r="J12" s="159">
        <v>7542930</v>
      </c>
    </row>
    <row r="13" spans="1:10">
      <c r="A13" t="s">
        <v>379</v>
      </c>
      <c r="B13" t="str">
        <f t="shared" si="0"/>
        <v>2</v>
      </c>
      <c r="C13" t="str">
        <f t="shared" si="1"/>
        <v>24</v>
      </c>
      <c r="D13">
        <f t="shared" si="2"/>
        <v>244</v>
      </c>
      <c r="E13">
        <f t="shared" si="3"/>
        <v>2444</v>
      </c>
      <c r="F13" s="108" t="s">
        <v>33</v>
      </c>
      <c r="G13" s="109" t="s">
        <v>34</v>
      </c>
      <c r="H13" s="158">
        <v>3168696</v>
      </c>
      <c r="I13" s="158">
        <v>3168696</v>
      </c>
      <c r="J13" s="159">
        <v>3117543</v>
      </c>
    </row>
    <row r="14" spans="1:10">
      <c r="A14" s="109" t="s">
        <v>380</v>
      </c>
      <c r="B14" t="str">
        <f t="shared" si="0"/>
        <v>2</v>
      </c>
      <c r="C14" t="str">
        <f t="shared" si="1"/>
        <v>24</v>
      </c>
      <c r="D14">
        <f t="shared" si="2"/>
        <v>245</v>
      </c>
      <c r="E14">
        <f t="shared" si="3"/>
        <v>2451</v>
      </c>
      <c r="F14" s="108" t="s">
        <v>490</v>
      </c>
      <c r="G14" s="109" t="s">
        <v>491</v>
      </c>
      <c r="H14" s="158">
        <v>8296170</v>
      </c>
      <c r="I14" s="158">
        <v>6709370</v>
      </c>
      <c r="J14" s="159">
        <v>13815627</v>
      </c>
    </row>
    <row r="15" spans="1:10">
      <c r="A15" s="45" t="s">
        <v>381</v>
      </c>
      <c r="B15" t="str">
        <f t="shared" si="0"/>
        <v>2</v>
      </c>
      <c r="C15" t="str">
        <f t="shared" si="1"/>
        <v>27</v>
      </c>
      <c r="D15">
        <f t="shared" si="2"/>
        <v>275</v>
      </c>
      <c r="E15">
        <f t="shared" si="3"/>
        <v>2758</v>
      </c>
      <c r="F15" s="108" t="s">
        <v>492</v>
      </c>
      <c r="G15" s="109" t="s">
        <v>493</v>
      </c>
      <c r="H15" s="158">
        <v>0</v>
      </c>
      <c r="I15" s="158">
        <v>0</v>
      </c>
      <c r="J15" s="159">
        <v>1865580</v>
      </c>
    </row>
    <row r="16" spans="1:10">
      <c r="A16" t="s">
        <v>382</v>
      </c>
      <c r="B16" t="str">
        <f t="shared" si="0"/>
        <v>2</v>
      </c>
      <c r="C16" t="str">
        <f t="shared" si="1"/>
        <v>28</v>
      </c>
      <c r="D16">
        <f t="shared" si="2"/>
        <v>283</v>
      </c>
      <c r="E16">
        <f t="shared" si="3"/>
        <v>2834</v>
      </c>
      <c r="F16" s="108" t="s">
        <v>38</v>
      </c>
      <c r="G16" s="109" t="s">
        <v>494</v>
      </c>
      <c r="H16" s="158">
        <v>-1958114</v>
      </c>
      <c r="I16" s="158">
        <v>-2774614</v>
      </c>
      <c r="J16" s="159">
        <v>-3591114</v>
      </c>
    </row>
    <row r="17" spans="1:10">
      <c r="A17" t="s">
        <v>379</v>
      </c>
      <c r="B17" t="str">
        <f t="shared" si="0"/>
        <v>2</v>
      </c>
      <c r="C17" t="str">
        <f t="shared" si="1"/>
        <v>28</v>
      </c>
      <c r="D17">
        <f t="shared" si="2"/>
        <v>284</v>
      </c>
      <c r="E17">
        <f t="shared" si="3"/>
        <v>2844</v>
      </c>
      <c r="F17" s="108" t="s">
        <v>41</v>
      </c>
      <c r="G17" s="109" t="s">
        <v>42</v>
      </c>
      <c r="H17" s="158">
        <v>-6530521</v>
      </c>
      <c r="I17" s="158">
        <v>-7857231</v>
      </c>
      <c r="J17" s="159">
        <v>0</v>
      </c>
    </row>
    <row r="18" spans="1:10">
      <c r="A18" t="s">
        <v>379</v>
      </c>
      <c r="B18" t="str">
        <f t="shared" si="0"/>
        <v>2</v>
      </c>
      <c r="C18" t="str">
        <f t="shared" si="1"/>
        <v>28</v>
      </c>
      <c r="D18">
        <f t="shared" si="2"/>
        <v>284</v>
      </c>
      <c r="E18">
        <f t="shared" si="3"/>
        <v>2844</v>
      </c>
      <c r="F18" s="108" t="s">
        <v>495</v>
      </c>
      <c r="G18" s="109" t="s">
        <v>43</v>
      </c>
      <c r="H18" s="158">
        <v>0</v>
      </c>
      <c r="I18" s="158">
        <v>0</v>
      </c>
      <c r="J18" s="159">
        <v>-1864929</v>
      </c>
    </row>
    <row r="19" spans="1:10">
      <c r="A19" t="s">
        <v>379</v>
      </c>
      <c r="B19" t="str">
        <f t="shared" si="0"/>
        <v>2</v>
      </c>
      <c r="C19" t="str">
        <f t="shared" si="1"/>
        <v>28</v>
      </c>
      <c r="D19">
        <f t="shared" si="2"/>
        <v>284</v>
      </c>
      <c r="E19">
        <f t="shared" si="3"/>
        <v>2844</v>
      </c>
      <c r="F19" s="108" t="s">
        <v>496</v>
      </c>
      <c r="G19" s="109" t="s">
        <v>45</v>
      </c>
      <c r="H19" s="158">
        <v>0</v>
      </c>
      <c r="I19" s="158">
        <v>0</v>
      </c>
      <c r="J19" s="159">
        <v>-8229570</v>
      </c>
    </row>
    <row r="20" spans="1:10">
      <c r="A20" t="s">
        <v>380</v>
      </c>
      <c r="B20" t="str">
        <f t="shared" si="0"/>
        <v>2</v>
      </c>
      <c r="C20" t="str">
        <f t="shared" si="1"/>
        <v>28</v>
      </c>
      <c r="D20">
        <f t="shared" si="2"/>
        <v>284</v>
      </c>
      <c r="E20">
        <f t="shared" si="3"/>
        <v>2845</v>
      </c>
      <c r="F20" s="108" t="s">
        <v>47</v>
      </c>
      <c r="G20" s="109" t="s">
        <v>48</v>
      </c>
      <c r="H20" s="158">
        <v>-430672</v>
      </c>
      <c r="I20" s="158">
        <v>-507627</v>
      </c>
      <c r="J20" s="159">
        <v>-3855576</v>
      </c>
    </row>
    <row r="21" spans="1:10">
      <c r="A21" t="s">
        <v>377</v>
      </c>
      <c r="B21" t="str">
        <f t="shared" si="0"/>
        <v>3</v>
      </c>
      <c r="C21" t="str">
        <f t="shared" si="1"/>
        <v>34</v>
      </c>
      <c r="D21">
        <f t="shared" si="2"/>
        <v>341</v>
      </c>
      <c r="E21">
        <f t="shared" si="3"/>
        <v>3411</v>
      </c>
      <c r="F21" s="108" t="s">
        <v>497</v>
      </c>
      <c r="G21" s="109" t="s">
        <v>498</v>
      </c>
      <c r="H21" s="158">
        <v>123496740</v>
      </c>
      <c r="I21" s="158">
        <v>73074271</v>
      </c>
      <c r="J21" s="159">
        <v>0</v>
      </c>
    </row>
    <row r="22" spans="1:10">
      <c r="A22" t="s">
        <v>50</v>
      </c>
      <c r="B22" t="str">
        <f t="shared" si="0"/>
        <v>4</v>
      </c>
      <c r="C22" t="str">
        <f t="shared" si="1"/>
        <v>40</v>
      </c>
      <c r="D22">
        <f t="shared" si="2"/>
        <v>401</v>
      </c>
      <c r="E22">
        <f t="shared" si="3"/>
        <v>4011</v>
      </c>
      <c r="F22" s="108" t="s">
        <v>49</v>
      </c>
      <c r="G22" s="109" t="s">
        <v>50</v>
      </c>
      <c r="H22" s="158">
        <v>-47847901</v>
      </c>
      <c r="I22" s="158">
        <v>-49432670</v>
      </c>
      <c r="J22" s="159">
        <v>-59036712</v>
      </c>
    </row>
    <row r="23" spans="1:10">
      <c r="A23" t="s">
        <v>50</v>
      </c>
      <c r="B23" t="str">
        <f t="shared" si="0"/>
        <v>4</v>
      </c>
      <c r="C23" t="str">
        <f t="shared" si="1"/>
        <v>40</v>
      </c>
      <c r="D23">
        <f t="shared" si="2"/>
        <v>408</v>
      </c>
      <c r="E23">
        <f t="shared" si="3"/>
        <v>4081</v>
      </c>
      <c r="F23" s="108" t="s">
        <v>51</v>
      </c>
      <c r="G23" s="109" t="s">
        <v>50</v>
      </c>
      <c r="H23" s="158">
        <v>0</v>
      </c>
      <c r="I23" s="158">
        <v>0</v>
      </c>
      <c r="J23" s="159">
        <v>-1087500</v>
      </c>
    </row>
    <row r="24" spans="1:10">
      <c r="A24" t="s">
        <v>383</v>
      </c>
      <c r="B24" t="str">
        <f t="shared" si="0"/>
        <v>4</v>
      </c>
      <c r="C24" t="str">
        <f t="shared" si="1"/>
        <v>40</v>
      </c>
      <c r="D24">
        <f t="shared" si="2"/>
        <v>409</v>
      </c>
      <c r="E24">
        <f t="shared" si="3"/>
        <v>4091</v>
      </c>
      <c r="F24" s="108" t="s">
        <v>53</v>
      </c>
      <c r="G24" s="109" t="s">
        <v>54</v>
      </c>
      <c r="H24" s="158">
        <v>0</v>
      </c>
      <c r="I24" s="158">
        <v>0</v>
      </c>
      <c r="J24" s="159">
        <v>1087500</v>
      </c>
    </row>
    <row r="25" spans="1:10">
      <c r="A25" t="s">
        <v>57</v>
      </c>
      <c r="B25" t="str">
        <f t="shared" si="0"/>
        <v>4</v>
      </c>
      <c r="C25" t="str">
        <f t="shared" si="1"/>
        <v>41</v>
      </c>
      <c r="D25">
        <f t="shared" si="2"/>
        <v>411</v>
      </c>
      <c r="E25">
        <f t="shared" si="3"/>
        <v>4111</v>
      </c>
      <c r="F25" s="108" t="s">
        <v>56</v>
      </c>
      <c r="G25" s="109" t="s">
        <v>57</v>
      </c>
      <c r="H25" s="158">
        <v>10690842</v>
      </c>
      <c r="I25" s="158">
        <v>80194076</v>
      </c>
      <c r="J25" s="159">
        <v>203836215</v>
      </c>
    </row>
    <row r="26" spans="1:10">
      <c r="A26" t="s">
        <v>384</v>
      </c>
      <c r="B26" t="str">
        <f t="shared" si="0"/>
        <v>4</v>
      </c>
      <c r="C26" t="str">
        <f t="shared" si="1"/>
        <v>41</v>
      </c>
      <c r="D26">
        <f t="shared" si="2"/>
        <v>419</v>
      </c>
      <c r="E26">
        <f t="shared" si="3"/>
        <v>4191</v>
      </c>
      <c r="F26" s="108" t="s">
        <v>59</v>
      </c>
      <c r="G26" s="109" t="s">
        <v>60</v>
      </c>
      <c r="H26" s="158">
        <v>0</v>
      </c>
      <c r="I26" s="158">
        <v>0</v>
      </c>
      <c r="J26" s="159">
        <v>0</v>
      </c>
    </row>
    <row r="27" spans="1:10">
      <c r="A27" t="s">
        <v>385</v>
      </c>
      <c r="B27" t="str">
        <f t="shared" si="0"/>
        <v>4</v>
      </c>
      <c r="C27" t="str">
        <f t="shared" si="1"/>
        <v>42</v>
      </c>
      <c r="D27">
        <f t="shared" si="2"/>
        <v>422</v>
      </c>
      <c r="E27">
        <f t="shared" si="3"/>
        <v>4220</v>
      </c>
      <c r="F27" s="108" t="s">
        <v>62</v>
      </c>
      <c r="G27" s="109" t="s">
        <v>63</v>
      </c>
      <c r="H27" s="158">
        <v>3180432</v>
      </c>
      <c r="I27" s="158">
        <v>12432</v>
      </c>
      <c r="J27" s="159">
        <v>0</v>
      </c>
    </row>
    <row r="28" spans="1:10">
      <c r="A28" t="s">
        <v>499</v>
      </c>
      <c r="B28" t="str">
        <f t="shared" si="0"/>
        <v>4</v>
      </c>
      <c r="C28" t="str">
        <f t="shared" si="1"/>
        <v>43</v>
      </c>
      <c r="D28">
        <f t="shared" si="2"/>
        <v>431</v>
      </c>
      <c r="E28">
        <f t="shared" si="3"/>
        <v>4318</v>
      </c>
      <c r="F28" s="108" t="s">
        <v>68</v>
      </c>
      <c r="G28" s="109" t="s">
        <v>69</v>
      </c>
      <c r="H28" s="158">
        <v>-5365660</v>
      </c>
      <c r="I28" s="158">
        <v>-9937768</v>
      </c>
      <c r="J28" s="159">
        <v>-15642411</v>
      </c>
    </row>
    <row r="29" spans="1:10">
      <c r="A29" t="s">
        <v>387</v>
      </c>
      <c r="B29" t="str">
        <f t="shared" si="0"/>
        <v>4</v>
      </c>
      <c r="C29" t="str">
        <f t="shared" si="1"/>
        <v>44</v>
      </c>
      <c r="D29">
        <f t="shared" si="2"/>
        <v>441</v>
      </c>
      <c r="E29">
        <f t="shared" si="3"/>
        <v>4410</v>
      </c>
      <c r="F29" s="108" t="s">
        <v>73</v>
      </c>
      <c r="G29" s="109" t="s">
        <v>74</v>
      </c>
      <c r="H29" s="158">
        <v>-3378375</v>
      </c>
      <c r="I29" s="158">
        <v>-3134450</v>
      </c>
      <c r="J29" s="159">
        <v>-19576425</v>
      </c>
    </row>
    <row r="30" spans="1:10">
      <c r="A30" t="s">
        <v>387</v>
      </c>
      <c r="B30" t="str">
        <f t="shared" si="0"/>
        <v>4</v>
      </c>
      <c r="C30" t="str">
        <f t="shared" si="1"/>
        <v>44</v>
      </c>
      <c r="D30">
        <f t="shared" si="2"/>
        <v>441</v>
      </c>
      <c r="E30">
        <f t="shared" si="3"/>
        <v>4412</v>
      </c>
      <c r="F30" s="108" t="s">
        <v>500</v>
      </c>
      <c r="G30" s="109" t="s">
        <v>501</v>
      </c>
      <c r="H30" s="158">
        <v>0</v>
      </c>
      <c r="I30" s="158">
        <v>0</v>
      </c>
      <c r="J30" s="159">
        <v>0</v>
      </c>
    </row>
    <row r="31" spans="1:10">
      <c r="A31" t="s">
        <v>387</v>
      </c>
      <c r="B31" t="str">
        <f t="shared" si="0"/>
        <v>4</v>
      </c>
      <c r="C31" t="str">
        <f t="shared" si="1"/>
        <v>44</v>
      </c>
      <c r="D31">
        <f t="shared" si="2"/>
        <v>442</v>
      </c>
      <c r="E31">
        <f t="shared" si="3"/>
        <v>4421</v>
      </c>
      <c r="F31" s="108" t="s">
        <v>75</v>
      </c>
      <c r="G31" s="109" t="s">
        <v>76</v>
      </c>
      <c r="H31" s="158">
        <v>-1422632</v>
      </c>
      <c r="I31" s="158">
        <v>-387638</v>
      </c>
      <c r="J31" s="159">
        <v>366021</v>
      </c>
    </row>
    <row r="32" spans="1:10">
      <c r="A32" t="s">
        <v>387</v>
      </c>
      <c r="B32" t="str">
        <f t="shared" si="0"/>
        <v>4</v>
      </c>
      <c r="C32" t="str">
        <f t="shared" si="1"/>
        <v>44</v>
      </c>
      <c r="D32">
        <f t="shared" si="2"/>
        <v>442</v>
      </c>
      <c r="E32">
        <f t="shared" si="3"/>
        <v>4422</v>
      </c>
      <c r="F32" s="108" t="s">
        <v>502</v>
      </c>
      <c r="G32" s="109" t="s">
        <v>503</v>
      </c>
      <c r="H32" s="158">
        <v>-1104000</v>
      </c>
      <c r="I32" s="158">
        <v>-1104000</v>
      </c>
      <c r="J32" s="159">
        <v>-1104000</v>
      </c>
    </row>
    <row r="33" spans="1:10">
      <c r="A33" t="s">
        <v>387</v>
      </c>
      <c r="B33" t="str">
        <f t="shared" si="0"/>
        <v>4</v>
      </c>
      <c r="C33" t="str">
        <f t="shared" si="1"/>
        <v>44</v>
      </c>
      <c r="D33">
        <f t="shared" si="2"/>
        <v>443</v>
      </c>
      <c r="E33">
        <f t="shared" si="3"/>
        <v>4431</v>
      </c>
      <c r="F33" s="108" t="s">
        <v>83</v>
      </c>
      <c r="G33" s="109" t="s">
        <v>84</v>
      </c>
      <c r="H33" s="158">
        <v>39682194</v>
      </c>
      <c r="I33" s="158">
        <v>0</v>
      </c>
      <c r="J33" s="159">
        <v>-3528000</v>
      </c>
    </row>
    <row r="34" spans="1:10">
      <c r="A34" t="s">
        <v>387</v>
      </c>
      <c r="B34" t="str">
        <f t="shared" si="0"/>
        <v>4</v>
      </c>
      <c r="C34" t="str">
        <f t="shared" si="1"/>
        <v>44</v>
      </c>
      <c r="D34">
        <f t="shared" si="2"/>
        <v>443</v>
      </c>
      <c r="E34">
        <f t="shared" si="3"/>
        <v>4432</v>
      </c>
      <c r="F34" s="108" t="s">
        <v>85</v>
      </c>
      <c r="G34" s="109" t="s">
        <v>86</v>
      </c>
      <c r="H34" s="158">
        <v>-42380183</v>
      </c>
      <c r="I34" s="158">
        <v>-1204460</v>
      </c>
      <c r="J34" s="159">
        <v>-3881574</v>
      </c>
    </row>
    <row r="35" spans="1:10">
      <c r="A35" t="s">
        <v>387</v>
      </c>
      <c r="B35" t="str">
        <f t="shared" si="0"/>
        <v>4</v>
      </c>
      <c r="C35" t="str">
        <f t="shared" si="1"/>
        <v>44</v>
      </c>
      <c r="D35">
        <f t="shared" si="2"/>
        <v>444</v>
      </c>
      <c r="E35">
        <f t="shared" si="3"/>
        <v>4441</v>
      </c>
      <c r="F35" s="108" t="s">
        <v>88</v>
      </c>
      <c r="G35" s="109" t="s">
        <v>89</v>
      </c>
      <c r="H35" s="158">
        <v>-126405601</v>
      </c>
      <c r="I35" s="158">
        <v>-170932026</v>
      </c>
      <c r="J35" s="159">
        <v>-232874775</v>
      </c>
    </row>
    <row r="36" spans="1:10">
      <c r="A36" t="s">
        <v>387</v>
      </c>
      <c r="B36" t="str">
        <f t="shared" si="0"/>
        <v>4</v>
      </c>
      <c r="C36" t="str">
        <f t="shared" si="1"/>
        <v>44</v>
      </c>
      <c r="D36">
        <f t="shared" si="2"/>
        <v>444</v>
      </c>
      <c r="E36">
        <f t="shared" si="3"/>
        <v>4442</v>
      </c>
      <c r="F36" s="108" t="s">
        <v>504</v>
      </c>
      <c r="G36" s="109" t="s">
        <v>505</v>
      </c>
      <c r="H36" s="158">
        <v>0</v>
      </c>
      <c r="I36" s="158">
        <v>-1857960</v>
      </c>
      <c r="J36" s="159">
        <v>0</v>
      </c>
    </row>
    <row r="37" spans="1:10">
      <c r="A37" t="s">
        <v>387</v>
      </c>
      <c r="B37" t="str">
        <f t="shared" si="0"/>
        <v>4</v>
      </c>
      <c r="C37" t="str">
        <f t="shared" si="1"/>
        <v>44</v>
      </c>
      <c r="D37">
        <f t="shared" si="2"/>
        <v>444</v>
      </c>
      <c r="E37">
        <f t="shared" si="3"/>
        <v>4449</v>
      </c>
      <c r="F37" s="108" t="s">
        <v>90</v>
      </c>
      <c r="G37" s="109" t="s">
        <v>91</v>
      </c>
      <c r="H37" s="158">
        <v>-38950</v>
      </c>
      <c r="I37" s="158">
        <v>0</v>
      </c>
      <c r="J37" s="159">
        <v>0</v>
      </c>
    </row>
    <row r="38" spans="1:10">
      <c r="A38" t="s">
        <v>387</v>
      </c>
      <c r="B38" t="str">
        <f t="shared" si="0"/>
        <v>4</v>
      </c>
      <c r="C38" t="str">
        <f t="shared" si="1"/>
        <v>44</v>
      </c>
      <c r="D38">
        <f t="shared" si="2"/>
        <v>445</v>
      </c>
      <c r="E38">
        <f t="shared" si="3"/>
        <v>4451</v>
      </c>
      <c r="F38" s="108" t="s">
        <v>92</v>
      </c>
      <c r="G38" s="109" t="s">
        <v>93</v>
      </c>
      <c r="H38" s="158">
        <v>603119</v>
      </c>
      <c r="I38" s="158">
        <v>82260</v>
      </c>
      <c r="J38" s="159">
        <v>0</v>
      </c>
    </row>
    <row r="39" spans="1:10">
      <c r="A39" t="s">
        <v>387</v>
      </c>
      <c r="B39" t="str">
        <f t="shared" si="0"/>
        <v>4</v>
      </c>
      <c r="C39" t="str">
        <f t="shared" si="1"/>
        <v>44</v>
      </c>
      <c r="D39">
        <f t="shared" si="2"/>
        <v>445</v>
      </c>
      <c r="E39">
        <f t="shared" si="3"/>
        <v>4452</v>
      </c>
      <c r="F39" s="108" t="s">
        <v>94</v>
      </c>
      <c r="G39" s="109" t="s">
        <v>95</v>
      </c>
      <c r="H39" s="158">
        <v>718585</v>
      </c>
      <c r="I39" s="158">
        <v>-1691688</v>
      </c>
      <c r="J39" s="159">
        <v>663329</v>
      </c>
    </row>
    <row r="40" spans="1:10">
      <c r="A40" t="s">
        <v>387</v>
      </c>
      <c r="B40" t="str">
        <f t="shared" si="0"/>
        <v>4</v>
      </c>
      <c r="C40" t="str">
        <f t="shared" si="1"/>
        <v>44</v>
      </c>
      <c r="D40">
        <f t="shared" si="2"/>
        <v>445</v>
      </c>
      <c r="E40">
        <f t="shared" si="3"/>
        <v>4454</v>
      </c>
      <c r="F40" s="108" t="s">
        <v>97</v>
      </c>
      <c r="G40" s="109" t="s">
        <v>98</v>
      </c>
      <c r="H40" s="158">
        <v>-541420</v>
      </c>
      <c r="I40" s="158">
        <v>-184649</v>
      </c>
      <c r="J40" s="159">
        <v>27000</v>
      </c>
    </row>
    <row r="41" spans="1:10">
      <c r="A41" t="s">
        <v>387</v>
      </c>
      <c r="B41" t="str">
        <f t="shared" si="0"/>
        <v>4</v>
      </c>
      <c r="C41" t="str">
        <f t="shared" si="1"/>
        <v>44</v>
      </c>
      <c r="D41">
        <f t="shared" si="2"/>
        <v>445</v>
      </c>
      <c r="E41">
        <f t="shared" si="3"/>
        <v>4456</v>
      </c>
      <c r="F41" s="108" t="s">
        <v>506</v>
      </c>
      <c r="G41" s="109" t="s">
        <v>507</v>
      </c>
      <c r="H41" s="158">
        <v>0</v>
      </c>
      <c r="I41" s="158">
        <v>0</v>
      </c>
      <c r="J41" s="159">
        <v>0</v>
      </c>
    </row>
    <row r="42" spans="1:10">
      <c r="A42" t="s">
        <v>387</v>
      </c>
      <c r="B42" t="str">
        <f t="shared" si="0"/>
        <v>4</v>
      </c>
      <c r="C42" t="str">
        <f t="shared" si="1"/>
        <v>44</v>
      </c>
      <c r="D42">
        <f t="shared" si="2"/>
        <v>447</v>
      </c>
      <c r="E42">
        <f t="shared" si="3"/>
        <v>4471</v>
      </c>
      <c r="F42" s="108" t="s">
        <v>508</v>
      </c>
      <c r="G42" s="109" t="s">
        <v>509</v>
      </c>
      <c r="H42" s="158">
        <v>-11906263</v>
      </c>
      <c r="I42" s="158">
        <v>0</v>
      </c>
      <c r="J42" s="159">
        <v>0</v>
      </c>
    </row>
    <row r="43" spans="1:10">
      <c r="A43" t="s">
        <v>387</v>
      </c>
      <c r="B43" t="str">
        <f t="shared" si="0"/>
        <v>4</v>
      </c>
      <c r="C43" t="str">
        <f t="shared" si="1"/>
        <v>44</v>
      </c>
      <c r="D43">
        <f t="shared" si="2"/>
        <v>447</v>
      </c>
      <c r="E43">
        <f t="shared" si="3"/>
        <v>4472</v>
      </c>
      <c r="F43" s="108" t="s">
        <v>101</v>
      </c>
      <c r="G43" s="109" t="s">
        <v>102</v>
      </c>
      <c r="H43" s="158">
        <v>3534553</v>
      </c>
      <c r="I43" s="158">
        <v>-1141132</v>
      </c>
      <c r="J43" s="159">
        <v>-1550991</v>
      </c>
    </row>
    <row r="44" spans="1:10">
      <c r="A44" t="s">
        <v>387</v>
      </c>
      <c r="B44" t="str">
        <f t="shared" si="0"/>
        <v>4</v>
      </c>
      <c r="C44" t="str">
        <f t="shared" si="1"/>
        <v>44</v>
      </c>
      <c r="D44">
        <f t="shared" si="2"/>
        <v>447</v>
      </c>
      <c r="E44">
        <f t="shared" si="3"/>
        <v>4478</v>
      </c>
      <c r="F44" s="108" t="s">
        <v>103</v>
      </c>
      <c r="G44" s="109" t="s">
        <v>104</v>
      </c>
      <c r="H44" s="158">
        <v>0</v>
      </c>
      <c r="I44" s="158">
        <v>-33500</v>
      </c>
      <c r="J44" s="159">
        <v>-105750</v>
      </c>
    </row>
    <row r="45" spans="1:10">
      <c r="A45" t="s">
        <v>387</v>
      </c>
      <c r="B45" t="str">
        <f t="shared" si="0"/>
        <v>4</v>
      </c>
      <c r="C45" t="str">
        <f t="shared" si="1"/>
        <v>44</v>
      </c>
      <c r="D45">
        <f t="shared" si="2"/>
        <v>447</v>
      </c>
      <c r="E45">
        <f t="shared" si="3"/>
        <v>4478</v>
      </c>
      <c r="F45" s="108" t="s">
        <v>106</v>
      </c>
      <c r="G45" s="109" t="s">
        <v>510</v>
      </c>
      <c r="H45" s="158">
        <v>-340000</v>
      </c>
      <c r="I45" s="158">
        <v>-340000</v>
      </c>
      <c r="J45" s="159">
        <v>-699420</v>
      </c>
    </row>
    <row r="46" spans="1:10">
      <c r="A46" t="s">
        <v>387</v>
      </c>
      <c r="B46" t="str">
        <f t="shared" si="0"/>
        <v>4</v>
      </c>
      <c r="C46" t="str">
        <f t="shared" si="1"/>
        <v>44</v>
      </c>
      <c r="D46">
        <f t="shared" si="2"/>
        <v>447</v>
      </c>
      <c r="E46">
        <f t="shared" si="3"/>
        <v>4478</v>
      </c>
      <c r="F46" s="108" t="s">
        <v>511</v>
      </c>
      <c r="G46" s="109" t="s">
        <v>512</v>
      </c>
      <c r="H46" s="158">
        <v>1003</v>
      </c>
      <c r="I46" s="158">
        <v>20</v>
      </c>
      <c r="J46" s="159">
        <v>1003</v>
      </c>
    </row>
    <row r="47" spans="1:10">
      <c r="A47" t="s">
        <v>387</v>
      </c>
      <c r="B47" t="str">
        <f t="shared" si="0"/>
        <v>4</v>
      </c>
      <c r="C47" t="str">
        <f t="shared" si="1"/>
        <v>44</v>
      </c>
      <c r="D47">
        <f t="shared" si="2"/>
        <v>447</v>
      </c>
      <c r="E47">
        <f t="shared" si="3"/>
        <v>4478</v>
      </c>
      <c r="F47" s="108" t="s">
        <v>513</v>
      </c>
      <c r="G47" s="109" t="s">
        <v>514</v>
      </c>
      <c r="H47" s="158">
        <v>-183733</v>
      </c>
      <c r="I47" s="158">
        <v>23726</v>
      </c>
      <c r="J47" s="159">
        <v>-1654085</v>
      </c>
    </row>
    <row r="48" spans="1:10">
      <c r="A48" t="s">
        <v>387</v>
      </c>
      <c r="B48" t="str">
        <f t="shared" si="0"/>
        <v>4</v>
      </c>
      <c r="C48" t="str">
        <f t="shared" si="1"/>
        <v>44</v>
      </c>
      <c r="D48">
        <f t="shared" si="2"/>
        <v>447</v>
      </c>
      <c r="E48">
        <f t="shared" si="3"/>
        <v>4478</v>
      </c>
      <c r="F48" s="108" t="s">
        <v>515</v>
      </c>
      <c r="G48" s="109" t="s">
        <v>516</v>
      </c>
      <c r="H48" s="158">
        <v>38333</v>
      </c>
      <c r="I48" s="158">
        <v>24278</v>
      </c>
      <c r="J48" s="159">
        <v>123903</v>
      </c>
    </row>
    <row r="49" spans="1:10">
      <c r="A49" t="s">
        <v>387</v>
      </c>
      <c r="B49" t="str">
        <f t="shared" si="0"/>
        <v>4</v>
      </c>
      <c r="C49" t="str">
        <f t="shared" si="1"/>
        <v>44</v>
      </c>
      <c r="D49">
        <f t="shared" si="2"/>
        <v>447</v>
      </c>
      <c r="E49">
        <f t="shared" si="3"/>
        <v>4478</v>
      </c>
      <c r="F49" s="108" t="s">
        <v>517</v>
      </c>
      <c r="G49" s="109" t="s">
        <v>518</v>
      </c>
      <c r="H49" s="158">
        <v>0</v>
      </c>
      <c r="I49" s="158">
        <v>0</v>
      </c>
      <c r="J49" s="159">
        <v>-2547222</v>
      </c>
    </row>
    <row r="50" spans="1:10">
      <c r="A50" t="s">
        <v>387</v>
      </c>
      <c r="B50" t="str">
        <f t="shared" si="0"/>
        <v>4</v>
      </c>
      <c r="C50" t="str">
        <f t="shared" si="1"/>
        <v>44</v>
      </c>
      <c r="D50">
        <f t="shared" si="2"/>
        <v>447</v>
      </c>
      <c r="E50">
        <f t="shared" si="3"/>
        <v>4478</v>
      </c>
      <c r="F50" s="108" t="s">
        <v>519</v>
      </c>
      <c r="G50" s="109" t="s">
        <v>520</v>
      </c>
      <c r="H50" s="158">
        <v>-188083</v>
      </c>
      <c r="I50" s="158">
        <v>-188083</v>
      </c>
      <c r="J50" s="159">
        <v>0</v>
      </c>
    </row>
    <row r="51" spans="1:10">
      <c r="A51" t="s">
        <v>387</v>
      </c>
      <c r="B51" t="str">
        <f t="shared" si="0"/>
        <v>4</v>
      </c>
      <c r="C51" t="str">
        <f t="shared" si="1"/>
        <v>44</v>
      </c>
      <c r="D51">
        <f t="shared" si="2"/>
        <v>448</v>
      </c>
      <c r="E51">
        <f t="shared" si="3"/>
        <v>4486</v>
      </c>
      <c r="F51" s="108" t="s">
        <v>108</v>
      </c>
      <c r="G51" s="109" t="s">
        <v>109</v>
      </c>
      <c r="H51" s="158">
        <v>-360000</v>
      </c>
      <c r="I51" s="158">
        <v>-1126628</v>
      </c>
      <c r="J51" s="159">
        <v>-1126628</v>
      </c>
    </row>
    <row r="52" spans="1:10">
      <c r="A52" t="s">
        <v>387</v>
      </c>
      <c r="B52" t="str">
        <f t="shared" si="0"/>
        <v>4</v>
      </c>
      <c r="C52" t="str">
        <f t="shared" si="1"/>
        <v>44</v>
      </c>
      <c r="D52">
        <f t="shared" si="2"/>
        <v>449</v>
      </c>
      <c r="E52">
        <f t="shared" si="3"/>
        <v>4492</v>
      </c>
      <c r="F52" s="108" t="s">
        <v>110</v>
      </c>
      <c r="G52" s="109" t="s">
        <v>111</v>
      </c>
      <c r="H52" s="158">
        <v>750000</v>
      </c>
      <c r="I52" s="158">
        <v>0</v>
      </c>
      <c r="J52" s="159">
        <v>2350839</v>
      </c>
    </row>
    <row r="53" spans="1:10">
      <c r="A53" t="s">
        <v>387</v>
      </c>
      <c r="B53" t="str">
        <f t="shared" si="0"/>
        <v>4</v>
      </c>
      <c r="C53" t="str">
        <f t="shared" si="1"/>
        <v>44</v>
      </c>
      <c r="D53">
        <f t="shared" si="2"/>
        <v>449</v>
      </c>
      <c r="E53">
        <f t="shared" si="3"/>
        <v>4492</v>
      </c>
      <c r="F53" s="108" t="s">
        <v>521</v>
      </c>
      <c r="G53" s="109" t="s">
        <v>522</v>
      </c>
      <c r="H53" s="158">
        <v>8657095</v>
      </c>
      <c r="I53" s="158">
        <v>11181234</v>
      </c>
      <c r="J53" s="159">
        <v>23213936</v>
      </c>
    </row>
    <row r="54" spans="1:10">
      <c r="A54" t="s">
        <v>387</v>
      </c>
      <c r="B54" t="str">
        <f t="shared" si="0"/>
        <v>4</v>
      </c>
      <c r="C54" t="str">
        <f t="shared" si="1"/>
        <v>44</v>
      </c>
      <c r="D54">
        <f t="shared" si="2"/>
        <v>449</v>
      </c>
      <c r="E54">
        <f t="shared" si="3"/>
        <v>4492</v>
      </c>
      <c r="F54" s="108" t="s">
        <v>523</v>
      </c>
      <c r="G54" s="109" t="s">
        <v>524</v>
      </c>
      <c r="H54" s="158">
        <v>251738</v>
      </c>
      <c r="I54" s="158">
        <v>446083</v>
      </c>
      <c r="J54" s="159">
        <v>1249126</v>
      </c>
    </row>
    <row r="55" spans="1:10">
      <c r="A55" t="s">
        <v>388</v>
      </c>
      <c r="B55" t="str">
        <f t="shared" si="0"/>
        <v>4</v>
      </c>
      <c r="C55" t="str">
        <f t="shared" si="1"/>
        <v>46</v>
      </c>
      <c r="D55">
        <f t="shared" si="2"/>
        <v>461</v>
      </c>
      <c r="E55">
        <f t="shared" si="3"/>
        <v>4612</v>
      </c>
      <c r="F55" s="108" t="s">
        <v>525</v>
      </c>
      <c r="G55" s="109" t="s">
        <v>526</v>
      </c>
      <c r="H55" s="158">
        <v>0</v>
      </c>
      <c r="I55" s="158">
        <v>0</v>
      </c>
      <c r="J55" s="159">
        <v>0</v>
      </c>
    </row>
    <row r="56" spans="1:10">
      <c r="A56" t="s">
        <v>388</v>
      </c>
      <c r="B56" t="str">
        <f t="shared" si="0"/>
        <v>4</v>
      </c>
      <c r="C56" t="str">
        <f t="shared" si="1"/>
        <v>46</v>
      </c>
      <c r="D56">
        <f t="shared" si="2"/>
        <v>461</v>
      </c>
      <c r="E56">
        <f t="shared" si="3"/>
        <v>4612</v>
      </c>
      <c r="F56" s="108" t="s">
        <v>527</v>
      </c>
      <c r="G56" s="109" t="s">
        <v>528</v>
      </c>
      <c r="H56" s="158">
        <v>0</v>
      </c>
      <c r="I56" s="158">
        <v>55225</v>
      </c>
      <c r="J56" s="159">
        <v>0</v>
      </c>
    </row>
    <row r="57" spans="1:10">
      <c r="A57" t="s">
        <v>388</v>
      </c>
      <c r="B57" t="str">
        <f t="shared" si="0"/>
        <v>4</v>
      </c>
      <c r="C57" t="str">
        <f t="shared" si="1"/>
        <v>46</v>
      </c>
      <c r="D57">
        <f t="shared" si="2"/>
        <v>461</v>
      </c>
      <c r="E57">
        <f t="shared" si="3"/>
        <v>4612</v>
      </c>
      <c r="F57" s="108" t="s">
        <v>529</v>
      </c>
      <c r="G57" s="109" t="s">
        <v>530</v>
      </c>
      <c r="H57" s="158">
        <v>0</v>
      </c>
      <c r="I57" s="158">
        <v>0</v>
      </c>
      <c r="J57" s="159">
        <v>0</v>
      </c>
    </row>
    <row r="58" spans="1:10">
      <c r="A58" t="s">
        <v>388</v>
      </c>
      <c r="B58" t="str">
        <f t="shared" si="0"/>
        <v>4</v>
      </c>
      <c r="C58" t="str">
        <f t="shared" si="1"/>
        <v>46</v>
      </c>
      <c r="D58">
        <f t="shared" si="2"/>
        <v>462</v>
      </c>
      <c r="E58">
        <f t="shared" si="3"/>
        <v>4621</v>
      </c>
      <c r="F58" s="108" t="s">
        <v>113</v>
      </c>
      <c r="G58" s="109" t="s">
        <v>114</v>
      </c>
      <c r="H58" s="158">
        <v>-42747708</v>
      </c>
      <c r="I58" s="158">
        <v>-42747708</v>
      </c>
      <c r="J58" s="159">
        <v>0</v>
      </c>
    </row>
    <row r="59" spans="1:10">
      <c r="A59" t="s">
        <v>388</v>
      </c>
      <c r="B59" t="str">
        <f t="shared" si="0"/>
        <v>4</v>
      </c>
      <c r="C59" t="str">
        <f t="shared" si="1"/>
        <v>46</v>
      </c>
      <c r="D59">
        <f t="shared" si="2"/>
        <v>462</v>
      </c>
      <c r="E59">
        <f t="shared" si="3"/>
        <v>4621</v>
      </c>
      <c r="F59" s="108" t="s">
        <v>531</v>
      </c>
      <c r="G59" s="109" t="s">
        <v>532</v>
      </c>
      <c r="H59" s="158">
        <v>-13694000</v>
      </c>
      <c r="I59" s="158">
        <v>-12464700</v>
      </c>
      <c r="J59" s="159">
        <v>-11337958</v>
      </c>
    </row>
    <row r="60" spans="1:10">
      <c r="A60" t="s">
        <v>388</v>
      </c>
      <c r="B60" t="str">
        <f t="shared" si="0"/>
        <v>4</v>
      </c>
      <c r="C60" t="str">
        <f t="shared" si="1"/>
        <v>47</v>
      </c>
      <c r="D60">
        <f t="shared" si="2"/>
        <v>471</v>
      </c>
      <c r="E60">
        <f t="shared" si="3"/>
        <v>4711</v>
      </c>
      <c r="F60" s="108" t="s">
        <v>116</v>
      </c>
      <c r="G60" s="109" t="s">
        <v>118</v>
      </c>
      <c r="H60" s="158">
        <v>0</v>
      </c>
      <c r="I60" s="158">
        <v>69262169</v>
      </c>
      <c r="J60" s="159">
        <v>0</v>
      </c>
    </row>
    <row r="61" spans="1:10">
      <c r="A61" t="s">
        <v>388</v>
      </c>
      <c r="B61" t="str">
        <f t="shared" si="0"/>
        <v>4</v>
      </c>
      <c r="C61" t="str">
        <f t="shared" si="1"/>
        <v>47</v>
      </c>
      <c r="D61">
        <f t="shared" si="2"/>
        <v>471</v>
      </c>
      <c r="E61">
        <f t="shared" si="3"/>
        <v>4711</v>
      </c>
      <c r="F61" s="108" t="s">
        <v>121</v>
      </c>
      <c r="G61" s="109" t="s">
        <v>533</v>
      </c>
      <c r="H61" s="158">
        <v>0</v>
      </c>
      <c r="I61" s="158">
        <v>0</v>
      </c>
      <c r="J61" s="159">
        <v>-11340000</v>
      </c>
    </row>
    <row r="62" spans="1:10">
      <c r="A62" t="s">
        <v>388</v>
      </c>
      <c r="B62" t="str">
        <f t="shared" si="0"/>
        <v>4</v>
      </c>
      <c r="C62" t="str">
        <f t="shared" si="1"/>
        <v>47</v>
      </c>
      <c r="D62">
        <f t="shared" si="2"/>
        <v>471</v>
      </c>
      <c r="E62">
        <f t="shared" si="3"/>
        <v>4712</v>
      </c>
      <c r="F62" s="108" t="s">
        <v>126</v>
      </c>
      <c r="G62" s="109" t="s">
        <v>127</v>
      </c>
      <c r="H62" s="158">
        <v>-21902525</v>
      </c>
      <c r="I62" s="158">
        <v>-38822567</v>
      </c>
      <c r="J62" s="159">
        <v>0</v>
      </c>
    </row>
    <row r="63" spans="1:10">
      <c r="A63" t="s">
        <v>388</v>
      </c>
      <c r="B63" t="str">
        <f t="shared" si="0"/>
        <v>4</v>
      </c>
      <c r="C63" t="str">
        <f t="shared" si="1"/>
        <v>47</v>
      </c>
      <c r="D63">
        <f t="shared" si="2"/>
        <v>476</v>
      </c>
      <c r="E63">
        <f t="shared" si="3"/>
        <v>4760</v>
      </c>
      <c r="F63" s="108" t="s">
        <v>128</v>
      </c>
      <c r="G63" s="109" t="s">
        <v>129</v>
      </c>
      <c r="H63" s="158">
        <v>0</v>
      </c>
      <c r="I63" s="158">
        <v>0</v>
      </c>
      <c r="J63" s="159">
        <v>24773919</v>
      </c>
    </row>
    <row r="64" spans="1:10">
      <c r="A64" t="s">
        <v>388</v>
      </c>
      <c r="B64" t="str">
        <f t="shared" si="0"/>
        <v>4</v>
      </c>
      <c r="C64" t="str">
        <f t="shared" si="1"/>
        <v>47</v>
      </c>
      <c r="D64">
        <f t="shared" si="2"/>
        <v>477</v>
      </c>
      <c r="E64">
        <f t="shared" si="3"/>
        <v>4770</v>
      </c>
      <c r="F64" s="108" t="s">
        <v>130</v>
      </c>
      <c r="G64" s="109" t="s">
        <v>131</v>
      </c>
      <c r="H64" s="158">
        <v>0</v>
      </c>
      <c r="I64" s="158">
        <v>0</v>
      </c>
      <c r="J64" s="159">
        <v>-47654300</v>
      </c>
    </row>
    <row r="65" spans="1:10">
      <c r="A65" t="s">
        <v>389</v>
      </c>
      <c r="B65" t="str">
        <f t="shared" si="0"/>
        <v>5</v>
      </c>
      <c r="C65" t="str">
        <f t="shared" si="1"/>
        <v>51</v>
      </c>
      <c r="D65">
        <f t="shared" si="2"/>
        <v>510</v>
      </c>
      <c r="E65">
        <f t="shared" si="3"/>
        <v>5100</v>
      </c>
      <c r="F65" s="108" t="s">
        <v>534</v>
      </c>
      <c r="G65" s="109" t="s">
        <v>138</v>
      </c>
      <c r="H65" s="158">
        <v>0</v>
      </c>
      <c r="I65" s="158">
        <v>0</v>
      </c>
      <c r="J65" s="159">
        <v>0</v>
      </c>
    </row>
    <row r="66" spans="1:10">
      <c r="A66" t="s">
        <v>389</v>
      </c>
      <c r="B66" t="str">
        <f t="shared" si="0"/>
        <v>5</v>
      </c>
      <c r="C66" t="str">
        <f t="shared" si="1"/>
        <v>52</v>
      </c>
      <c r="D66">
        <f t="shared" si="2"/>
        <v>520</v>
      </c>
      <c r="E66">
        <f t="shared" si="3"/>
        <v>5200</v>
      </c>
      <c r="F66" s="108" t="s">
        <v>135</v>
      </c>
      <c r="G66" s="109" t="s">
        <v>138</v>
      </c>
      <c r="H66" s="158">
        <v>0</v>
      </c>
      <c r="I66" s="158">
        <v>0</v>
      </c>
      <c r="J66" s="159">
        <v>0</v>
      </c>
    </row>
    <row r="67" spans="1:10">
      <c r="A67" t="s">
        <v>389</v>
      </c>
      <c r="B67" t="str">
        <f t="shared" ref="B67:B134" si="4">LEFT(C67,1)</f>
        <v>5</v>
      </c>
      <c r="C67" t="str">
        <f t="shared" ref="C67:C134" si="5">LEFT(D67,2)</f>
        <v>52</v>
      </c>
      <c r="D67">
        <f t="shared" ref="D67:D134" si="6">_xlfn.NUMBERVALUE(LEFT(E67,3))</f>
        <v>520</v>
      </c>
      <c r="E67">
        <f t="shared" ref="E67:E134" si="7">_xlfn.NUMBERVALUE(LEFT(F67,4))</f>
        <v>5200</v>
      </c>
      <c r="F67" s="108" t="s">
        <v>135</v>
      </c>
      <c r="G67" s="109" t="s">
        <v>535</v>
      </c>
      <c r="H67" s="158">
        <v>0</v>
      </c>
      <c r="I67" s="158">
        <v>0</v>
      </c>
      <c r="J67" s="159">
        <v>0</v>
      </c>
    </row>
    <row r="68" spans="1:10">
      <c r="A68" t="s">
        <v>389</v>
      </c>
      <c r="B68" t="str">
        <f t="shared" si="4"/>
        <v>5</v>
      </c>
      <c r="C68" t="str">
        <f t="shared" si="5"/>
        <v>52</v>
      </c>
      <c r="D68">
        <f t="shared" si="6"/>
        <v>520</v>
      </c>
      <c r="E68">
        <f t="shared" si="7"/>
        <v>5200</v>
      </c>
      <c r="F68" s="108" t="s">
        <v>137</v>
      </c>
      <c r="G68" s="109" t="s">
        <v>136</v>
      </c>
      <c r="H68" s="158">
        <v>36817121</v>
      </c>
      <c r="I68" s="158">
        <v>47435500</v>
      </c>
      <c r="J68" s="159">
        <v>0</v>
      </c>
    </row>
    <row r="69" spans="1:10">
      <c r="A69" t="s">
        <v>389</v>
      </c>
      <c r="B69" t="str">
        <f t="shared" si="4"/>
        <v>5</v>
      </c>
      <c r="C69" t="str">
        <f t="shared" si="5"/>
        <v>52</v>
      </c>
      <c r="D69">
        <f t="shared" si="6"/>
        <v>520</v>
      </c>
      <c r="E69">
        <f t="shared" si="7"/>
        <v>5200</v>
      </c>
      <c r="F69" s="108" t="s">
        <v>139</v>
      </c>
      <c r="G69" s="109" t="s">
        <v>132</v>
      </c>
      <c r="H69" s="158">
        <v>0</v>
      </c>
      <c r="I69" s="158">
        <v>0</v>
      </c>
      <c r="J69" s="159">
        <v>0</v>
      </c>
    </row>
    <row r="70" spans="1:10">
      <c r="A70" t="s">
        <v>389</v>
      </c>
      <c r="B70" t="str">
        <f t="shared" si="4"/>
        <v>5</v>
      </c>
      <c r="C70" t="str">
        <f t="shared" si="5"/>
        <v>52</v>
      </c>
      <c r="D70">
        <f t="shared" si="6"/>
        <v>520</v>
      </c>
      <c r="E70">
        <f t="shared" si="7"/>
        <v>5200</v>
      </c>
      <c r="F70" s="108" t="s">
        <v>536</v>
      </c>
      <c r="G70" s="109" t="s">
        <v>138</v>
      </c>
      <c r="H70" s="158">
        <v>0</v>
      </c>
      <c r="I70" s="158">
        <v>0</v>
      </c>
      <c r="J70" s="159">
        <v>0</v>
      </c>
    </row>
    <row r="71" spans="1:10">
      <c r="A71" t="s">
        <v>389</v>
      </c>
      <c r="B71" t="str">
        <f t="shared" si="4"/>
        <v>5</v>
      </c>
      <c r="C71" t="str">
        <f t="shared" si="5"/>
        <v>52</v>
      </c>
      <c r="D71">
        <f t="shared" si="6"/>
        <v>521</v>
      </c>
      <c r="E71">
        <f t="shared" si="7"/>
        <v>5211</v>
      </c>
      <c r="F71" s="108" t="s">
        <v>140</v>
      </c>
      <c r="G71" s="109" t="s">
        <v>537</v>
      </c>
      <c r="H71" s="158">
        <v>25360566</v>
      </c>
      <c r="I71" s="158">
        <v>131759</v>
      </c>
      <c r="J71" s="159">
        <v>5287601</v>
      </c>
    </row>
    <row r="72" spans="1:10">
      <c r="A72" t="s">
        <v>389</v>
      </c>
      <c r="B72" t="str">
        <f t="shared" si="4"/>
        <v>5</v>
      </c>
      <c r="C72" t="str">
        <f t="shared" si="5"/>
        <v>52</v>
      </c>
      <c r="D72">
        <f t="shared" si="6"/>
        <v>521</v>
      </c>
      <c r="E72">
        <f t="shared" si="7"/>
        <v>5211</v>
      </c>
      <c r="F72" s="108" t="s">
        <v>142</v>
      </c>
      <c r="G72" s="109" t="s">
        <v>538</v>
      </c>
      <c r="H72" s="158">
        <v>-3040962</v>
      </c>
      <c r="I72" s="158">
        <v>30147813</v>
      </c>
      <c r="J72" s="159">
        <v>2287484</v>
      </c>
    </row>
    <row r="73" spans="1:10">
      <c r="A73" t="s">
        <v>389</v>
      </c>
      <c r="B73" t="str">
        <f t="shared" si="4"/>
        <v>5</v>
      </c>
      <c r="C73" t="str">
        <f t="shared" si="5"/>
        <v>52</v>
      </c>
      <c r="D73">
        <f t="shared" si="6"/>
        <v>521</v>
      </c>
      <c r="E73">
        <f t="shared" si="7"/>
        <v>5211</v>
      </c>
      <c r="F73" s="108" t="s">
        <v>144</v>
      </c>
      <c r="G73" s="109" t="s">
        <v>539</v>
      </c>
      <c r="H73" s="158">
        <v>-4636645</v>
      </c>
      <c r="I73" s="158">
        <v>-5975904</v>
      </c>
      <c r="J73" s="159">
        <v>9326883</v>
      </c>
    </row>
    <row r="74" spans="1:10">
      <c r="A74" t="s">
        <v>389</v>
      </c>
      <c r="B74" t="str">
        <f t="shared" si="4"/>
        <v>5</v>
      </c>
      <c r="C74" t="str">
        <f t="shared" si="5"/>
        <v>52</v>
      </c>
      <c r="D74">
        <f t="shared" si="6"/>
        <v>521</v>
      </c>
      <c r="E74">
        <f t="shared" si="7"/>
        <v>5211</v>
      </c>
      <c r="F74" s="108" t="s">
        <v>146</v>
      </c>
      <c r="G74" s="109" t="s">
        <v>540</v>
      </c>
      <c r="H74" s="158">
        <v>-112843</v>
      </c>
      <c r="I74" s="158">
        <v>0</v>
      </c>
      <c r="J74" s="159">
        <v>0</v>
      </c>
    </row>
    <row r="75" spans="1:10">
      <c r="A75" t="s">
        <v>389</v>
      </c>
      <c r="B75" t="str">
        <f t="shared" si="4"/>
        <v>5</v>
      </c>
      <c r="C75" t="str">
        <f t="shared" si="5"/>
        <v>52</v>
      </c>
      <c r="D75">
        <f t="shared" si="6"/>
        <v>521</v>
      </c>
      <c r="E75">
        <f t="shared" si="7"/>
        <v>5211</v>
      </c>
      <c r="F75" s="108" t="s">
        <v>541</v>
      </c>
      <c r="G75" s="109" t="s">
        <v>542</v>
      </c>
      <c r="H75" s="158">
        <v>0</v>
      </c>
      <c r="I75" s="158">
        <v>14648744</v>
      </c>
      <c r="J75" s="159">
        <v>-4534933</v>
      </c>
    </row>
    <row r="76" spans="1:10">
      <c r="A76" t="s">
        <v>389</v>
      </c>
      <c r="B76" t="str">
        <f t="shared" si="4"/>
        <v>5</v>
      </c>
      <c r="C76" t="str">
        <f t="shared" si="5"/>
        <v>52</v>
      </c>
      <c r="D76">
        <f t="shared" si="6"/>
        <v>521</v>
      </c>
      <c r="E76">
        <f t="shared" si="7"/>
        <v>5211</v>
      </c>
      <c r="F76" s="108" t="s">
        <v>543</v>
      </c>
      <c r="G76" s="109" t="s">
        <v>544</v>
      </c>
      <c r="H76" s="158">
        <v>0</v>
      </c>
      <c r="I76" s="158">
        <v>0</v>
      </c>
      <c r="J76" s="159">
        <v>5337973</v>
      </c>
    </row>
    <row r="77" spans="1:10">
      <c r="A77" t="s">
        <v>389</v>
      </c>
      <c r="B77" t="str">
        <f t="shared" si="4"/>
        <v>5</v>
      </c>
      <c r="C77" t="str">
        <f t="shared" si="5"/>
        <v>52</v>
      </c>
      <c r="D77">
        <f t="shared" si="6"/>
        <v>525</v>
      </c>
      <c r="E77">
        <f t="shared" si="7"/>
        <v>5250</v>
      </c>
      <c r="F77" s="108" t="s">
        <v>151</v>
      </c>
      <c r="G77" s="109" t="s">
        <v>545</v>
      </c>
      <c r="H77" s="158">
        <v>71000000</v>
      </c>
      <c r="I77" s="158">
        <v>77842534</v>
      </c>
      <c r="J77" s="159">
        <v>77842534</v>
      </c>
    </row>
    <row r="78" spans="1:10">
      <c r="A78" t="s">
        <v>390</v>
      </c>
      <c r="B78" t="str">
        <f t="shared" si="4"/>
        <v>5</v>
      </c>
      <c r="C78" t="str">
        <f t="shared" si="5"/>
        <v>56</v>
      </c>
      <c r="D78">
        <f t="shared" si="6"/>
        <v>561</v>
      </c>
      <c r="E78">
        <f t="shared" si="7"/>
        <v>5610</v>
      </c>
      <c r="F78" s="108" t="s">
        <v>155</v>
      </c>
      <c r="G78" s="109" t="s">
        <v>156</v>
      </c>
      <c r="H78" s="158">
        <v>388579</v>
      </c>
      <c r="I78" s="158">
        <v>-53298016</v>
      </c>
      <c r="J78" s="159">
        <v>-33744272</v>
      </c>
    </row>
    <row r="79" spans="1:10">
      <c r="A79" t="s">
        <v>390</v>
      </c>
      <c r="B79" t="str">
        <f t="shared" si="4"/>
        <v>5</v>
      </c>
      <c r="C79" t="str">
        <f t="shared" si="5"/>
        <v>56</v>
      </c>
      <c r="D79">
        <f t="shared" si="6"/>
        <v>566</v>
      </c>
      <c r="E79">
        <f t="shared" si="7"/>
        <v>5660</v>
      </c>
      <c r="F79" s="108" t="s">
        <v>162</v>
      </c>
      <c r="G79" s="109" t="s">
        <v>163</v>
      </c>
      <c r="H79" s="158">
        <v>0</v>
      </c>
      <c r="I79" s="158">
        <v>0</v>
      </c>
      <c r="J79" s="159">
        <v>-27908796</v>
      </c>
    </row>
    <row r="80" spans="1:10">
      <c r="A80" t="s">
        <v>391</v>
      </c>
      <c r="B80" t="str">
        <f t="shared" si="4"/>
        <v>5</v>
      </c>
      <c r="C80" t="str">
        <f t="shared" si="5"/>
        <v>57</v>
      </c>
      <c r="D80">
        <f t="shared" si="6"/>
        <v>571</v>
      </c>
      <c r="E80">
        <f t="shared" si="7"/>
        <v>5711</v>
      </c>
      <c r="F80" s="108" t="s">
        <v>164</v>
      </c>
      <c r="G80" s="109" t="s">
        <v>165</v>
      </c>
      <c r="H80" s="158">
        <v>390817</v>
      </c>
      <c r="I80" s="158">
        <v>49242</v>
      </c>
      <c r="J80" s="159">
        <v>3305740</v>
      </c>
    </row>
    <row r="81" spans="1:15">
      <c r="A81" t="s">
        <v>391</v>
      </c>
      <c r="B81" t="str">
        <f t="shared" si="4"/>
        <v>5</v>
      </c>
      <c r="C81" t="str">
        <f t="shared" si="5"/>
        <v>57</v>
      </c>
      <c r="D81">
        <f t="shared" si="6"/>
        <v>571</v>
      </c>
      <c r="E81">
        <f t="shared" si="7"/>
        <v>5711</v>
      </c>
      <c r="F81" s="108" t="s">
        <v>166</v>
      </c>
      <c r="G81" s="109" t="s">
        <v>546</v>
      </c>
      <c r="H81" s="158">
        <v>2143345</v>
      </c>
      <c r="I81" s="158">
        <v>-125279</v>
      </c>
      <c r="J81" s="159">
        <v>-125279</v>
      </c>
    </row>
    <row r="82" spans="1:15">
      <c r="A82" t="s">
        <v>391</v>
      </c>
      <c r="B82" t="str">
        <f t="shared" si="4"/>
        <v>5</v>
      </c>
      <c r="C82" t="str">
        <f t="shared" si="5"/>
        <v>57</v>
      </c>
      <c r="D82">
        <f t="shared" si="6"/>
        <v>571</v>
      </c>
      <c r="E82">
        <f t="shared" si="7"/>
        <v>5711</v>
      </c>
      <c r="F82" s="108" t="s">
        <v>547</v>
      </c>
      <c r="G82" s="109" t="s">
        <v>548</v>
      </c>
      <c r="H82" s="158">
        <v>0</v>
      </c>
      <c r="I82" s="158">
        <v>1899339</v>
      </c>
      <c r="J82" s="159">
        <v>2137396</v>
      </c>
    </row>
    <row r="83" spans="1:15">
      <c r="A83" t="s">
        <v>392</v>
      </c>
      <c r="B83" t="str">
        <f t="shared" si="4"/>
        <v>5</v>
      </c>
      <c r="C83" t="str">
        <f t="shared" si="5"/>
        <v>58</v>
      </c>
      <c r="D83">
        <f t="shared" si="6"/>
        <v>585</v>
      </c>
      <c r="E83">
        <f t="shared" si="7"/>
        <v>5850</v>
      </c>
      <c r="F83" s="108" t="s">
        <v>168</v>
      </c>
      <c r="G83" s="109" t="s">
        <v>549</v>
      </c>
      <c r="H83" s="158">
        <v>0</v>
      </c>
      <c r="I83" s="158">
        <v>0</v>
      </c>
      <c r="J83" s="159">
        <v>0</v>
      </c>
    </row>
    <row r="84" spans="1:15">
      <c r="A84" t="s">
        <v>392</v>
      </c>
      <c r="B84" t="str">
        <f t="shared" si="4"/>
        <v>5</v>
      </c>
      <c r="C84" t="str">
        <f t="shared" si="5"/>
        <v>58</v>
      </c>
      <c r="D84">
        <f t="shared" si="6"/>
        <v>588</v>
      </c>
      <c r="E84">
        <f t="shared" si="7"/>
        <v>5880</v>
      </c>
      <c r="F84" s="108" t="s">
        <v>170</v>
      </c>
      <c r="G84" s="109" t="s">
        <v>171</v>
      </c>
      <c r="H84" s="158">
        <v>0</v>
      </c>
      <c r="I84" s="158">
        <v>0</v>
      </c>
      <c r="J84" s="159">
        <v>0</v>
      </c>
    </row>
    <row r="85" spans="1:15">
      <c r="A85" t="s">
        <v>393</v>
      </c>
      <c r="B85" t="str">
        <f t="shared" si="4"/>
        <v>6</v>
      </c>
      <c r="C85" t="str">
        <f t="shared" si="5"/>
        <v>60</v>
      </c>
      <c r="D85">
        <f t="shared" si="6"/>
        <v>601</v>
      </c>
      <c r="E85">
        <f t="shared" si="7"/>
        <v>6011</v>
      </c>
      <c r="F85" s="108" t="s">
        <v>172</v>
      </c>
      <c r="G85" s="109" t="s">
        <v>173</v>
      </c>
      <c r="H85" s="158">
        <v>6663594</v>
      </c>
      <c r="I85" s="158">
        <v>15548012</v>
      </c>
      <c r="J85" s="159">
        <v>103082451</v>
      </c>
      <c r="K85" s="78">
        <f>-H85/'Cdr BABF'!F8</f>
        <v>2.090748801905825E-2</v>
      </c>
      <c r="L85" s="78">
        <f>-I85/'Cdr BABF'!G8</f>
        <v>9.1698024225221594E-2</v>
      </c>
      <c r="M85" s="78">
        <f>-J85/'Cdr BABF'!H8</f>
        <v>0.4349308921244508</v>
      </c>
      <c r="N85" s="78">
        <f>(J85-H85)/H85</f>
        <v>14.469497541416839</v>
      </c>
      <c r="O85" s="78">
        <f>((J85/H85)^(1/2))-1</f>
        <v>2.9331282131932643</v>
      </c>
    </row>
    <row r="86" spans="1:15">
      <c r="A86" t="s">
        <v>393</v>
      </c>
      <c r="B86" t="str">
        <f t="shared" si="4"/>
        <v>6</v>
      </c>
      <c r="C86" t="str">
        <f t="shared" si="5"/>
        <v>60</v>
      </c>
      <c r="D86">
        <f t="shared" si="6"/>
        <v>601</v>
      </c>
      <c r="E86">
        <f t="shared" si="7"/>
        <v>6012</v>
      </c>
      <c r="F86" s="108" t="s">
        <v>174</v>
      </c>
      <c r="G86" s="109" t="s">
        <v>550</v>
      </c>
      <c r="H86" s="158">
        <v>272645541</v>
      </c>
      <c r="I86" s="158">
        <v>154017885</v>
      </c>
      <c r="J86" s="159">
        <v>132468945</v>
      </c>
      <c r="K86" s="78">
        <f>-H86/'Cdr BABF'!F8</f>
        <v>0.85544428155544205</v>
      </c>
      <c r="L86" s="78">
        <f>-I86/'Cdr BABF'!G8</f>
        <v>0.90835637056669327</v>
      </c>
      <c r="M86" s="78">
        <f>-J86/'Cdr BABF'!H8</f>
        <v>0.55891993126584472</v>
      </c>
      <c r="N86" s="78">
        <f>(J86-H86)/H86</f>
        <v>-0.51413492949807682</v>
      </c>
    </row>
    <row r="87" spans="1:15">
      <c r="A87" t="s">
        <v>393</v>
      </c>
      <c r="B87" t="str">
        <f t="shared" si="4"/>
        <v>6</v>
      </c>
      <c r="C87" t="str">
        <f t="shared" si="5"/>
        <v>60</v>
      </c>
      <c r="D87">
        <f t="shared" si="6"/>
        <v>601</v>
      </c>
      <c r="E87">
        <f t="shared" si="7"/>
        <v>6015</v>
      </c>
      <c r="F87" s="108" t="s">
        <v>176</v>
      </c>
      <c r="G87" s="109" t="s">
        <v>177</v>
      </c>
      <c r="H87" s="158">
        <v>39408924</v>
      </c>
      <c r="I87" s="158">
        <v>565777</v>
      </c>
      <c r="J87" s="159">
        <v>1457409</v>
      </c>
      <c r="K87" s="78">
        <f>-H87/'Cdr BABF'!F8</f>
        <v>0.12364823042549968</v>
      </c>
      <c r="L87" s="78">
        <f>-I87/'Cdr BABF'!G8</f>
        <v>3.3368017115032581E-3</v>
      </c>
      <c r="M87" s="78">
        <f>-J87/'Cdr BABF'!H8</f>
        <v>6.1491766097044372E-3</v>
      </c>
    </row>
    <row r="88" spans="1:15">
      <c r="A88" t="s">
        <v>395</v>
      </c>
      <c r="B88" t="str">
        <f t="shared" si="4"/>
        <v>6</v>
      </c>
      <c r="C88" t="str">
        <f t="shared" si="5"/>
        <v>60</v>
      </c>
      <c r="D88">
        <f t="shared" si="6"/>
        <v>605</v>
      </c>
      <c r="E88">
        <f t="shared" si="7"/>
        <v>6052</v>
      </c>
      <c r="F88" s="108" t="s">
        <v>179</v>
      </c>
      <c r="G88" s="109" t="s">
        <v>180</v>
      </c>
      <c r="H88" s="158">
        <v>2489435</v>
      </c>
      <c r="I88" s="158">
        <v>1843333</v>
      </c>
      <c r="J88" s="159">
        <v>1362875</v>
      </c>
    </row>
    <row r="89" spans="1:15">
      <c r="A89" t="s">
        <v>394</v>
      </c>
      <c r="B89" t="str">
        <f t="shared" si="4"/>
        <v>6</v>
      </c>
      <c r="C89" t="str">
        <f t="shared" si="5"/>
        <v>60</v>
      </c>
      <c r="D89">
        <f t="shared" si="6"/>
        <v>605</v>
      </c>
      <c r="E89">
        <f t="shared" si="7"/>
        <v>6053</v>
      </c>
      <c r="F89" s="108" t="s">
        <v>181</v>
      </c>
      <c r="G89" s="109" t="s">
        <v>182</v>
      </c>
      <c r="H89" s="158">
        <v>4098500</v>
      </c>
      <c r="I89" s="158">
        <v>4121900</v>
      </c>
      <c r="J89" s="159">
        <v>4680000</v>
      </c>
    </row>
    <row r="90" spans="1:15">
      <c r="A90" t="s">
        <v>396</v>
      </c>
      <c r="B90" t="str">
        <f t="shared" si="4"/>
        <v>6</v>
      </c>
      <c r="C90" t="str">
        <f t="shared" si="5"/>
        <v>60</v>
      </c>
      <c r="D90">
        <f t="shared" si="6"/>
        <v>605</v>
      </c>
      <c r="E90">
        <f t="shared" si="7"/>
        <v>6054</v>
      </c>
      <c r="F90" s="108" t="s">
        <v>183</v>
      </c>
      <c r="G90" s="109" t="s">
        <v>184</v>
      </c>
      <c r="H90" s="158">
        <v>411100</v>
      </c>
      <c r="I90" s="158">
        <v>360813</v>
      </c>
      <c r="J90" s="159">
        <v>302625</v>
      </c>
    </row>
    <row r="91" spans="1:15">
      <c r="A91" t="s">
        <v>397</v>
      </c>
      <c r="B91" t="str">
        <f t="shared" si="4"/>
        <v>6</v>
      </c>
      <c r="C91" t="str">
        <f t="shared" si="5"/>
        <v>60</v>
      </c>
      <c r="D91">
        <f t="shared" si="6"/>
        <v>605</v>
      </c>
      <c r="E91">
        <f t="shared" si="7"/>
        <v>6055</v>
      </c>
      <c r="F91" s="108" t="s">
        <v>185</v>
      </c>
      <c r="G91" s="109" t="s">
        <v>186</v>
      </c>
      <c r="H91" s="158">
        <v>380225</v>
      </c>
      <c r="I91" s="158">
        <v>433784</v>
      </c>
      <c r="J91" s="159">
        <v>668049</v>
      </c>
    </row>
    <row r="92" spans="1:15">
      <c r="A92" t="s">
        <v>397</v>
      </c>
      <c r="B92" t="str">
        <f t="shared" si="4"/>
        <v>6</v>
      </c>
      <c r="C92" t="str">
        <f t="shared" si="5"/>
        <v>60</v>
      </c>
      <c r="D92">
        <f t="shared" si="6"/>
        <v>605</v>
      </c>
      <c r="E92">
        <f t="shared" si="7"/>
        <v>6055</v>
      </c>
      <c r="F92" s="108" t="s">
        <v>551</v>
      </c>
      <c r="G92" s="109" t="s">
        <v>552</v>
      </c>
      <c r="H92" s="158">
        <v>0</v>
      </c>
      <c r="I92" s="158">
        <v>0</v>
      </c>
      <c r="J92" s="159">
        <v>2957500</v>
      </c>
    </row>
    <row r="93" spans="1:15">
      <c r="A93" t="s">
        <v>397</v>
      </c>
      <c r="B93" t="str">
        <f t="shared" si="4"/>
        <v>6</v>
      </c>
      <c r="C93" t="str">
        <f t="shared" si="5"/>
        <v>60</v>
      </c>
      <c r="D93">
        <f t="shared" si="6"/>
        <v>605</v>
      </c>
      <c r="E93">
        <f t="shared" si="7"/>
        <v>6055</v>
      </c>
      <c r="F93" s="108" t="s">
        <v>553</v>
      </c>
      <c r="G93" s="109" t="s">
        <v>187</v>
      </c>
      <c r="H93" s="158">
        <v>0</v>
      </c>
      <c r="I93" s="158">
        <v>0</v>
      </c>
      <c r="J93" s="159">
        <v>0</v>
      </c>
    </row>
    <row r="94" spans="1:15">
      <c r="A94" t="s">
        <v>398</v>
      </c>
      <c r="B94" t="str">
        <f t="shared" si="4"/>
        <v>6</v>
      </c>
      <c r="C94" t="str">
        <f t="shared" si="5"/>
        <v>60</v>
      </c>
      <c r="D94">
        <f t="shared" si="6"/>
        <v>605</v>
      </c>
      <c r="E94">
        <f t="shared" si="7"/>
        <v>6056</v>
      </c>
      <c r="F94" s="108" t="s">
        <v>189</v>
      </c>
      <c r="G94" s="109" t="s">
        <v>190</v>
      </c>
      <c r="H94" s="158">
        <v>0</v>
      </c>
      <c r="I94" s="158">
        <v>0</v>
      </c>
      <c r="J94" s="159">
        <v>419850</v>
      </c>
    </row>
    <row r="95" spans="1:15">
      <c r="A95" t="s">
        <v>398</v>
      </c>
      <c r="B95" t="str">
        <f t="shared" si="4"/>
        <v>6</v>
      </c>
      <c r="C95" t="str">
        <f t="shared" si="5"/>
        <v>60</v>
      </c>
      <c r="D95">
        <f t="shared" si="6"/>
        <v>605</v>
      </c>
      <c r="E95">
        <f t="shared" si="7"/>
        <v>6056</v>
      </c>
      <c r="F95" s="108" t="s">
        <v>191</v>
      </c>
      <c r="G95" s="109" t="s">
        <v>554</v>
      </c>
      <c r="H95" s="158">
        <v>1052378</v>
      </c>
      <c r="I95" s="158">
        <v>1958236</v>
      </c>
      <c r="J95" s="159">
        <v>4899628</v>
      </c>
    </row>
    <row r="96" spans="1:15">
      <c r="A96" t="s">
        <v>399</v>
      </c>
      <c r="B96" t="str">
        <f t="shared" si="4"/>
        <v>6</v>
      </c>
      <c r="C96" t="str">
        <f t="shared" si="5"/>
        <v>60</v>
      </c>
      <c r="D96">
        <f t="shared" si="6"/>
        <v>605</v>
      </c>
      <c r="E96">
        <f t="shared" si="7"/>
        <v>6057</v>
      </c>
      <c r="F96" s="108" t="s">
        <v>193</v>
      </c>
      <c r="G96" s="109" t="s">
        <v>194</v>
      </c>
      <c r="H96" s="158">
        <v>10965385</v>
      </c>
      <c r="I96" s="158">
        <v>29125940</v>
      </c>
      <c r="J96" s="159">
        <v>54802867</v>
      </c>
    </row>
    <row r="97" spans="1:10">
      <c r="A97" t="s">
        <v>399</v>
      </c>
      <c r="B97" t="str">
        <f t="shared" si="4"/>
        <v>6</v>
      </c>
      <c r="C97" t="str">
        <f t="shared" si="5"/>
        <v>60</v>
      </c>
      <c r="D97">
        <f t="shared" si="6"/>
        <v>605</v>
      </c>
      <c r="E97">
        <f t="shared" si="7"/>
        <v>6057</v>
      </c>
      <c r="F97" s="108" t="s">
        <v>195</v>
      </c>
      <c r="G97" s="109" t="s">
        <v>196</v>
      </c>
      <c r="H97" s="158">
        <v>5791178</v>
      </c>
      <c r="I97" s="158">
        <v>2929348</v>
      </c>
      <c r="J97" s="159">
        <v>13527061</v>
      </c>
    </row>
    <row r="98" spans="1:10">
      <c r="A98" t="s">
        <v>400</v>
      </c>
      <c r="B98" t="str">
        <f t="shared" si="4"/>
        <v>6</v>
      </c>
      <c r="C98" t="str">
        <f t="shared" si="5"/>
        <v>60</v>
      </c>
      <c r="D98">
        <f t="shared" si="6"/>
        <v>605</v>
      </c>
      <c r="E98">
        <f t="shared" si="7"/>
        <v>6058</v>
      </c>
      <c r="F98" s="108" t="s">
        <v>197</v>
      </c>
      <c r="G98" s="109" t="s">
        <v>198</v>
      </c>
      <c r="H98" s="158">
        <v>16452263</v>
      </c>
      <c r="I98" s="158">
        <v>38047837</v>
      </c>
      <c r="J98" s="159">
        <v>29006</v>
      </c>
    </row>
    <row r="99" spans="1:10">
      <c r="A99" s="124" t="s">
        <v>393</v>
      </c>
      <c r="D99" s="124">
        <f t="shared" ref="D99" si="8">_xlfn.NUMBERVALUE(LEFT(E99,3))</f>
        <v>608</v>
      </c>
      <c r="E99" s="124">
        <f t="shared" ref="E99" si="9">_xlfn.NUMBERVALUE(LEFT(F99,4))</f>
        <v>6089</v>
      </c>
      <c r="F99" s="153">
        <v>608900</v>
      </c>
      <c r="G99" s="152" t="s">
        <v>555</v>
      </c>
      <c r="H99" s="158">
        <v>0</v>
      </c>
      <c r="I99" s="158">
        <v>-575000</v>
      </c>
      <c r="J99" s="160"/>
    </row>
    <row r="100" spans="1:10">
      <c r="A100" t="s">
        <v>401</v>
      </c>
      <c r="B100" t="str">
        <f t="shared" si="4"/>
        <v>6</v>
      </c>
      <c r="C100" t="str">
        <f t="shared" si="5"/>
        <v>61</v>
      </c>
      <c r="D100">
        <f t="shared" si="6"/>
        <v>613</v>
      </c>
      <c r="E100">
        <f t="shared" si="7"/>
        <v>6130</v>
      </c>
      <c r="F100" s="108" t="s">
        <v>556</v>
      </c>
      <c r="G100" s="109" t="s">
        <v>557</v>
      </c>
      <c r="H100" s="158">
        <v>0</v>
      </c>
      <c r="I100" s="158">
        <v>0</v>
      </c>
      <c r="J100" s="159">
        <v>0</v>
      </c>
    </row>
    <row r="101" spans="1:10">
      <c r="A101" t="s">
        <v>401</v>
      </c>
      <c r="B101" t="str">
        <f t="shared" si="4"/>
        <v>6</v>
      </c>
      <c r="C101" t="str">
        <f t="shared" si="5"/>
        <v>61</v>
      </c>
      <c r="D101">
        <f t="shared" si="6"/>
        <v>616</v>
      </c>
      <c r="E101">
        <f t="shared" si="7"/>
        <v>6160</v>
      </c>
      <c r="F101" s="108" t="s">
        <v>199</v>
      </c>
      <c r="G101" s="109" t="s">
        <v>200</v>
      </c>
      <c r="H101" s="158">
        <v>0</v>
      </c>
      <c r="I101" s="158">
        <v>0</v>
      </c>
      <c r="J101" s="159">
        <v>88000</v>
      </c>
    </row>
    <row r="102" spans="1:10">
      <c r="A102" t="s">
        <v>401</v>
      </c>
      <c r="B102" t="str">
        <f t="shared" si="4"/>
        <v>6</v>
      </c>
      <c r="C102" t="str">
        <f t="shared" si="5"/>
        <v>61</v>
      </c>
      <c r="D102">
        <f t="shared" si="6"/>
        <v>616</v>
      </c>
      <c r="E102">
        <f t="shared" si="7"/>
        <v>6161</v>
      </c>
      <c r="F102" s="108" t="s">
        <v>201</v>
      </c>
      <c r="G102" s="109" t="s">
        <v>558</v>
      </c>
      <c r="H102" s="158">
        <v>0</v>
      </c>
      <c r="I102" s="158">
        <v>0</v>
      </c>
      <c r="J102" s="159">
        <v>1124051</v>
      </c>
    </row>
    <row r="103" spans="1:10">
      <c r="A103" t="s">
        <v>401</v>
      </c>
      <c r="B103" t="str">
        <f t="shared" si="4"/>
        <v>6</v>
      </c>
      <c r="C103" t="str">
        <f t="shared" si="5"/>
        <v>61</v>
      </c>
      <c r="D103">
        <f t="shared" si="6"/>
        <v>618</v>
      </c>
      <c r="E103">
        <f t="shared" si="7"/>
        <v>6181</v>
      </c>
      <c r="F103" s="108" t="s">
        <v>203</v>
      </c>
      <c r="G103" s="109" t="s">
        <v>204</v>
      </c>
      <c r="H103" s="158">
        <v>8320800</v>
      </c>
      <c r="I103" s="158">
        <v>5312900</v>
      </c>
      <c r="J103" s="159">
        <v>5463801</v>
      </c>
    </row>
    <row r="104" spans="1:10">
      <c r="A104" t="s">
        <v>401</v>
      </c>
      <c r="B104" t="str">
        <f t="shared" si="4"/>
        <v>6</v>
      </c>
      <c r="C104" t="str">
        <f t="shared" si="5"/>
        <v>61</v>
      </c>
      <c r="D104">
        <f t="shared" si="6"/>
        <v>618</v>
      </c>
      <c r="E104">
        <f t="shared" si="7"/>
        <v>6183</v>
      </c>
      <c r="F104" s="108" t="s">
        <v>205</v>
      </c>
      <c r="G104" s="109" t="s">
        <v>206</v>
      </c>
      <c r="H104" s="158">
        <v>2050000</v>
      </c>
      <c r="I104" s="158">
        <v>1045000</v>
      </c>
      <c r="J104" s="159">
        <v>252116</v>
      </c>
    </row>
    <row r="105" spans="1:10">
      <c r="A105" s="124" t="s">
        <v>403</v>
      </c>
      <c r="B105" s="124" t="str">
        <f t="shared" ref="B105" si="10">LEFT(C105,1)</f>
        <v>6</v>
      </c>
      <c r="C105" s="124" t="str">
        <f t="shared" ref="C105" si="11">LEFT(D105,2)</f>
        <v>62</v>
      </c>
      <c r="D105" s="124">
        <f t="shared" ref="D105" si="12">_xlfn.NUMBERVALUE(LEFT(E105,3))</f>
        <v>622</v>
      </c>
      <c r="E105" s="124">
        <f t="shared" si="7"/>
        <v>6221</v>
      </c>
      <c r="F105" s="124">
        <v>622100</v>
      </c>
      <c r="G105" s="124" t="s">
        <v>559</v>
      </c>
      <c r="H105" s="158">
        <v>1200000</v>
      </c>
      <c r="I105" s="158">
        <v>0</v>
      </c>
      <c r="J105" s="160"/>
    </row>
    <row r="106" spans="1:10">
      <c r="A106" t="s">
        <v>403</v>
      </c>
      <c r="B106" t="str">
        <f t="shared" si="4"/>
        <v>6</v>
      </c>
      <c r="C106" t="str">
        <f t="shared" si="5"/>
        <v>62</v>
      </c>
      <c r="D106">
        <f t="shared" si="6"/>
        <v>622</v>
      </c>
      <c r="E106">
        <f t="shared" si="7"/>
        <v>6222</v>
      </c>
      <c r="F106" s="108" t="s">
        <v>209</v>
      </c>
      <c r="G106" s="109" t="s">
        <v>210</v>
      </c>
      <c r="H106" s="158">
        <v>7200000</v>
      </c>
      <c r="I106" s="158">
        <v>7200000</v>
      </c>
      <c r="J106" s="159">
        <v>8132568</v>
      </c>
    </row>
    <row r="107" spans="1:10">
      <c r="A107" t="s">
        <v>403</v>
      </c>
      <c r="B107" t="str">
        <f t="shared" si="4"/>
        <v>6</v>
      </c>
      <c r="C107" t="str">
        <f t="shared" si="5"/>
        <v>62</v>
      </c>
      <c r="D107">
        <f t="shared" si="6"/>
        <v>622</v>
      </c>
      <c r="E107">
        <f t="shared" si="7"/>
        <v>6223</v>
      </c>
      <c r="F107" s="108" t="s">
        <v>211</v>
      </c>
      <c r="G107" s="109" t="s">
        <v>212</v>
      </c>
      <c r="H107" s="158">
        <v>0</v>
      </c>
      <c r="I107" s="158">
        <v>0</v>
      </c>
      <c r="J107" s="159">
        <v>40500</v>
      </c>
    </row>
    <row r="108" spans="1:10">
      <c r="A108" t="s">
        <v>403</v>
      </c>
      <c r="B108" t="str">
        <f t="shared" si="4"/>
        <v>6</v>
      </c>
      <c r="C108" t="str">
        <f t="shared" si="5"/>
        <v>62</v>
      </c>
      <c r="D108">
        <f t="shared" si="6"/>
        <v>622</v>
      </c>
      <c r="E108">
        <f t="shared" si="7"/>
        <v>6228</v>
      </c>
      <c r="F108" s="108" t="s">
        <v>213</v>
      </c>
      <c r="G108" s="109" t="s">
        <v>214</v>
      </c>
      <c r="H108" s="158">
        <v>2110880</v>
      </c>
      <c r="I108" s="158">
        <v>708118</v>
      </c>
      <c r="J108" s="159">
        <v>1168947</v>
      </c>
    </row>
    <row r="109" spans="1:10">
      <c r="A109" t="s">
        <v>403</v>
      </c>
      <c r="B109" t="str">
        <f t="shared" si="4"/>
        <v>6</v>
      </c>
      <c r="C109" t="str">
        <f t="shared" si="5"/>
        <v>62</v>
      </c>
      <c r="D109">
        <f t="shared" si="6"/>
        <v>622</v>
      </c>
      <c r="E109">
        <f t="shared" si="7"/>
        <v>6228</v>
      </c>
      <c r="F109" s="108" t="s">
        <v>560</v>
      </c>
      <c r="G109" s="109" t="s">
        <v>561</v>
      </c>
      <c r="H109" s="158">
        <v>0</v>
      </c>
      <c r="I109" s="158">
        <v>0</v>
      </c>
      <c r="J109" s="159">
        <v>195600</v>
      </c>
    </row>
    <row r="110" spans="1:10">
      <c r="A110" s="124" t="s">
        <v>403</v>
      </c>
      <c r="D110" s="124">
        <f t="shared" ref="D110" si="13">_xlfn.NUMBERVALUE(LEFT(E110,3))</f>
        <v>623</v>
      </c>
      <c r="E110" s="124">
        <f t="shared" ref="E110" si="14">_xlfn.NUMBERVALUE(LEFT(F110,4))</f>
        <v>6238</v>
      </c>
      <c r="F110" s="153">
        <v>623800</v>
      </c>
      <c r="G110" s="152" t="s">
        <v>562</v>
      </c>
      <c r="H110" s="158">
        <v>0</v>
      </c>
      <c r="I110" s="158">
        <v>200000</v>
      </c>
      <c r="J110" s="160"/>
    </row>
    <row r="111" spans="1:10">
      <c r="A111" t="s">
        <v>404</v>
      </c>
      <c r="B111" t="str">
        <f t="shared" si="4"/>
        <v>6</v>
      </c>
      <c r="C111" t="str">
        <f t="shared" si="5"/>
        <v>62</v>
      </c>
      <c r="D111">
        <f t="shared" si="6"/>
        <v>624</v>
      </c>
      <c r="E111">
        <f t="shared" si="7"/>
        <v>6241</v>
      </c>
      <c r="F111" s="108" t="s">
        <v>216</v>
      </c>
      <c r="G111" s="109" t="s">
        <v>217</v>
      </c>
      <c r="H111" s="158">
        <v>0</v>
      </c>
      <c r="I111" s="158">
        <v>0</v>
      </c>
      <c r="J111" s="159">
        <v>572500</v>
      </c>
    </row>
    <row r="112" spans="1:10">
      <c r="A112" t="s">
        <v>404</v>
      </c>
      <c r="B112" t="str">
        <f t="shared" si="4"/>
        <v>6</v>
      </c>
      <c r="C112" t="str">
        <f t="shared" si="5"/>
        <v>62</v>
      </c>
      <c r="D112">
        <f t="shared" si="6"/>
        <v>624</v>
      </c>
      <c r="E112">
        <f t="shared" si="7"/>
        <v>6242</v>
      </c>
      <c r="F112" s="108" t="s">
        <v>218</v>
      </c>
      <c r="G112" s="109" t="s">
        <v>219</v>
      </c>
      <c r="H112" s="158">
        <v>391000</v>
      </c>
      <c r="I112" s="158">
        <v>561000</v>
      </c>
      <c r="J112" s="159">
        <v>118600</v>
      </c>
    </row>
    <row r="113" spans="1:10">
      <c r="A113" t="s">
        <v>404</v>
      </c>
      <c r="B113" t="str">
        <f t="shared" si="4"/>
        <v>6</v>
      </c>
      <c r="C113" t="str">
        <f t="shared" si="5"/>
        <v>62</v>
      </c>
      <c r="D113">
        <f t="shared" si="6"/>
        <v>624</v>
      </c>
      <c r="E113">
        <f t="shared" si="7"/>
        <v>6248</v>
      </c>
      <c r="F113" s="108" t="s">
        <v>220</v>
      </c>
      <c r="G113" s="109" t="s">
        <v>221</v>
      </c>
      <c r="H113" s="158">
        <v>926617</v>
      </c>
      <c r="I113" s="158">
        <v>2033717</v>
      </c>
      <c r="J113" s="159">
        <v>1524500</v>
      </c>
    </row>
    <row r="114" spans="1:10">
      <c r="A114" t="s">
        <v>405</v>
      </c>
      <c r="B114" t="str">
        <f t="shared" si="4"/>
        <v>6</v>
      </c>
      <c r="C114" t="str">
        <f t="shared" si="5"/>
        <v>62</v>
      </c>
      <c r="D114">
        <f t="shared" si="6"/>
        <v>625</v>
      </c>
      <c r="E114">
        <f t="shared" si="7"/>
        <v>6251</v>
      </c>
      <c r="F114" s="108" t="s">
        <v>222</v>
      </c>
      <c r="G114" s="109" t="s">
        <v>223</v>
      </c>
      <c r="H114" s="158">
        <v>0</v>
      </c>
      <c r="I114" s="158">
        <v>0</v>
      </c>
      <c r="J114" s="159">
        <v>352000</v>
      </c>
    </row>
    <row r="115" spans="1:10">
      <c r="A115" t="s">
        <v>405</v>
      </c>
      <c r="B115" t="str">
        <f t="shared" si="4"/>
        <v>6</v>
      </c>
      <c r="C115" t="str">
        <f t="shared" si="5"/>
        <v>62</v>
      </c>
      <c r="D115">
        <f t="shared" si="6"/>
        <v>625</v>
      </c>
      <c r="E115">
        <f t="shared" si="7"/>
        <v>6252</v>
      </c>
      <c r="F115" s="108" t="s">
        <v>224</v>
      </c>
      <c r="G115" s="109" t="s">
        <v>225</v>
      </c>
      <c r="H115" s="158">
        <v>350000</v>
      </c>
      <c r="I115" s="158">
        <v>350000</v>
      </c>
      <c r="J115" s="159">
        <v>73750</v>
      </c>
    </row>
    <row r="116" spans="1:10">
      <c r="A116" t="s">
        <v>405</v>
      </c>
      <c r="B116" t="str">
        <f t="shared" si="4"/>
        <v>6</v>
      </c>
      <c r="C116" t="str">
        <f t="shared" si="5"/>
        <v>62</v>
      </c>
      <c r="D116">
        <f t="shared" si="6"/>
        <v>625</v>
      </c>
      <c r="E116">
        <f t="shared" si="7"/>
        <v>6258</v>
      </c>
      <c r="F116" s="108" t="s">
        <v>227</v>
      </c>
      <c r="G116" s="109" t="s">
        <v>228</v>
      </c>
      <c r="H116" s="158">
        <v>3823750</v>
      </c>
      <c r="I116" s="158">
        <v>1404988</v>
      </c>
      <c r="J116" s="159">
        <v>850442</v>
      </c>
    </row>
    <row r="117" spans="1:10">
      <c r="A117" t="s">
        <v>406</v>
      </c>
      <c r="B117" t="str">
        <f t="shared" si="4"/>
        <v>6</v>
      </c>
      <c r="C117" t="str">
        <f t="shared" si="5"/>
        <v>62</v>
      </c>
      <c r="D117">
        <f t="shared" si="6"/>
        <v>626</v>
      </c>
      <c r="E117">
        <f t="shared" si="7"/>
        <v>6266</v>
      </c>
      <c r="F117" s="108" t="s">
        <v>563</v>
      </c>
      <c r="G117" s="109" t="s">
        <v>564</v>
      </c>
      <c r="H117" s="158">
        <v>0</v>
      </c>
      <c r="I117" s="158">
        <v>0</v>
      </c>
      <c r="J117" s="159">
        <v>48000</v>
      </c>
    </row>
    <row r="118" spans="1:10">
      <c r="A118" t="s">
        <v>407</v>
      </c>
      <c r="B118" t="str">
        <f t="shared" si="4"/>
        <v>6</v>
      </c>
      <c r="C118" t="str">
        <f t="shared" si="5"/>
        <v>62</v>
      </c>
      <c r="D118">
        <f t="shared" si="6"/>
        <v>627</v>
      </c>
      <c r="E118">
        <f t="shared" si="7"/>
        <v>6272</v>
      </c>
      <c r="F118" s="108" t="s">
        <v>231</v>
      </c>
      <c r="G118" s="109" t="s">
        <v>232</v>
      </c>
      <c r="H118" s="158">
        <v>0</v>
      </c>
      <c r="I118" s="158">
        <v>0</v>
      </c>
      <c r="J118" s="159">
        <v>1106000</v>
      </c>
    </row>
    <row r="119" spans="1:10">
      <c r="A119" t="s">
        <v>407</v>
      </c>
      <c r="B119" t="str">
        <f t="shared" si="4"/>
        <v>6</v>
      </c>
      <c r="C119" t="str">
        <f t="shared" si="5"/>
        <v>62</v>
      </c>
      <c r="D119">
        <f t="shared" si="6"/>
        <v>627</v>
      </c>
      <c r="E119">
        <f t="shared" si="7"/>
        <v>6275</v>
      </c>
      <c r="F119" s="108" t="s">
        <v>565</v>
      </c>
      <c r="G119" s="109" t="s">
        <v>566</v>
      </c>
      <c r="H119" s="158">
        <v>0</v>
      </c>
      <c r="I119" s="158">
        <v>0</v>
      </c>
      <c r="J119" s="159">
        <v>100000</v>
      </c>
    </row>
    <row r="120" spans="1:10">
      <c r="A120" t="s">
        <v>407</v>
      </c>
      <c r="B120" t="str">
        <f t="shared" si="4"/>
        <v>6</v>
      </c>
      <c r="C120" t="str">
        <f t="shared" si="5"/>
        <v>62</v>
      </c>
      <c r="D120">
        <f t="shared" si="6"/>
        <v>627</v>
      </c>
      <c r="E120">
        <f t="shared" si="7"/>
        <v>6276</v>
      </c>
      <c r="F120" s="108" t="s">
        <v>233</v>
      </c>
      <c r="G120" s="109" t="s">
        <v>234</v>
      </c>
      <c r="H120" s="158">
        <v>0</v>
      </c>
      <c r="I120" s="158">
        <v>19000</v>
      </c>
      <c r="J120" s="159">
        <v>2994171</v>
      </c>
    </row>
    <row r="121" spans="1:10">
      <c r="A121" t="s">
        <v>407</v>
      </c>
      <c r="B121" t="str">
        <f t="shared" si="4"/>
        <v>6</v>
      </c>
      <c r="C121" t="str">
        <f t="shared" si="5"/>
        <v>62</v>
      </c>
      <c r="D121">
        <f t="shared" si="6"/>
        <v>627</v>
      </c>
      <c r="E121">
        <f t="shared" si="7"/>
        <v>6277</v>
      </c>
      <c r="F121" s="108" t="s">
        <v>235</v>
      </c>
      <c r="G121" s="109" t="s">
        <v>236</v>
      </c>
      <c r="H121" s="158">
        <v>0</v>
      </c>
      <c r="I121" s="158">
        <v>0</v>
      </c>
      <c r="J121" s="159">
        <v>250000</v>
      </c>
    </row>
    <row r="122" spans="1:10">
      <c r="A122" t="s">
        <v>407</v>
      </c>
      <c r="B122" t="str">
        <f t="shared" si="4"/>
        <v>6</v>
      </c>
      <c r="C122" t="str">
        <f t="shared" si="5"/>
        <v>62</v>
      </c>
      <c r="D122">
        <f t="shared" si="6"/>
        <v>627</v>
      </c>
      <c r="E122">
        <f t="shared" si="7"/>
        <v>6278</v>
      </c>
      <c r="F122" s="108" t="s">
        <v>237</v>
      </c>
      <c r="G122" s="109" t="s">
        <v>238</v>
      </c>
      <c r="H122" s="158">
        <v>0</v>
      </c>
      <c r="I122" s="158">
        <v>0</v>
      </c>
      <c r="J122" s="159">
        <v>47566000</v>
      </c>
    </row>
    <row r="123" spans="1:10">
      <c r="A123" s="124" t="s">
        <v>408</v>
      </c>
      <c r="D123" s="124">
        <f t="shared" ref="D123" si="15">_xlfn.NUMBERVALUE(LEFT(E123,3))</f>
        <v>628</v>
      </c>
      <c r="E123" s="124">
        <f t="shared" ref="E123" si="16">_xlfn.NUMBERVALUE(LEFT(F123,4))</f>
        <v>6281</v>
      </c>
      <c r="F123" s="153">
        <v>628100</v>
      </c>
      <c r="G123" s="152" t="s">
        <v>567</v>
      </c>
      <c r="H123" s="158">
        <v>0</v>
      </c>
      <c r="I123" s="158">
        <v>102000</v>
      </c>
      <c r="J123" s="160"/>
    </row>
    <row r="124" spans="1:10">
      <c r="A124" t="s">
        <v>408</v>
      </c>
      <c r="B124" t="str">
        <f t="shared" si="4"/>
        <v>6</v>
      </c>
      <c r="C124" t="str">
        <f t="shared" si="5"/>
        <v>62</v>
      </c>
      <c r="D124">
        <f t="shared" si="6"/>
        <v>628</v>
      </c>
      <c r="E124">
        <f t="shared" si="7"/>
        <v>6288</v>
      </c>
      <c r="F124" s="108" t="s">
        <v>241</v>
      </c>
      <c r="G124" s="109" t="s">
        <v>242</v>
      </c>
      <c r="H124" s="158">
        <v>2708865</v>
      </c>
      <c r="I124" s="158">
        <v>2084056</v>
      </c>
      <c r="J124" s="159">
        <v>3414757</v>
      </c>
    </row>
    <row r="125" spans="1:10">
      <c r="A125" t="s">
        <v>409</v>
      </c>
      <c r="B125" t="str">
        <f t="shared" si="4"/>
        <v>6</v>
      </c>
      <c r="C125" t="str">
        <f t="shared" si="5"/>
        <v>63</v>
      </c>
      <c r="D125">
        <f t="shared" si="6"/>
        <v>631</v>
      </c>
      <c r="E125">
        <f t="shared" si="7"/>
        <v>6317</v>
      </c>
      <c r="F125" s="108" t="s">
        <v>245</v>
      </c>
      <c r="G125" s="109" t="s">
        <v>246</v>
      </c>
      <c r="H125" s="158">
        <v>0</v>
      </c>
      <c r="I125" s="158">
        <v>0</v>
      </c>
      <c r="J125" s="159">
        <v>8728</v>
      </c>
    </row>
    <row r="126" spans="1:10">
      <c r="A126" t="s">
        <v>409</v>
      </c>
      <c r="B126" t="str">
        <f t="shared" si="4"/>
        <v>6</v>
      </c>
      <c r="C126" t="str">
        <f t="shared" si="5"/>
        <v>63</v>
      </c>
      <c r="D126">
        <f t="shared" si="6"/>
        <v>631</v>
      </c>
      <c r="E126">
        <f t="shared" si="7"/>
        <v>6318</v>
      </c>
      <c r="F126" s="108" t="s">
        <v>247</v>
      </c>
      <c r="G126" s="109" t="s">
        <v>248</v>
      </c>
      <c r="H126" s="158">
        <v>9023514</v>
      </c>
      <c r="I126" s="158">
        <v>13831789</v>
      </c>
      <c r="J126" s="159">
        <v>14465315</v>
      </c>
    </row>
    <row r="127" spans="1:10">
      <c r="A127" t="s">
        <v>410</v>
      </c>
      <c r="B127" t="str">
        <f t="shared" si="4"/>
        <v>6</v>
      </c>
      <c r="C127" t="str">
        <f t="shared" si="5"/>
        <v>63</v>
      </c>
      <c r="D127">
        <f t="shared" si="6"/>
        <v>632</v>
      </c>
      <c r="E127">
        <f t="shared" si="7"/>
        <v>6324</v>
      </c>
      <c r="F127" s="108" t="s">
        <v>250</v>
      </c>
      <c r="G127" s="109" t="s">
        <v>251</v>
      </c>
      <c r="H127" s="158">
        <v>2930800</v>
      </c>
      <c r="I127" s="158">
        <v>1200000</v>
      </c>
      <c r="J127" s="159">
        <v>1905000</v>
      </c>
    </row>
    <row r="128" spans="1:10">
      <c r="A128" t="s">
        <v>410</v>
      </c>
      <c r="B128" t="str">
        <f t="shared" si="4"/>
        <v>6</v>
      </c>
      <c r="C128" t="str">
        <f t="shared" si="5"/>
        <v>63</v>
      </c>
      <c r="D128">
        <f t="shared" si="6"/>
        <v>632</v>
      </c>
      <c r="E128">
        <f t="shared" si="7"/>
        <v>6327</v>
      </c>
      <c r="F128" s="108" t="s">
        <v>256</v>
      </c>
      <c r="G128" s="109" t="s">
        <v>568</v>
      </c>
      <c r="H128" s="158">
        <v>0</v>
      </c>
      <c r="I128" s="158">
        <v>0</v>
      </c>
      <c r="J128" s="159">
        <v>18242223</v>
      </c>
    </row>
    <row r="129" spans="1:10">
      <c r="A129" t="s">
        <v>410</v>
      </c>
      <c r="B129" t="str">
        <f t="shared" si="4"/>
        <v>6</v>
      </c>
      <c r="C129" t="str">
        <f t="shared" si="5"/>
        <v>63</v>
      </c>
      <c r="D129">
        <f t="shared" si="6"/>
        <v>632</v>
      </c>
      <c r="E129">
        <f t="shared" si="7"/>
        <v>6328</v>
      </c>
      <c r="F129" s="108" t="s">
        <v>258</v>
      </c>
      <c r="G129" s="109" t="s">
        <v>259</v>
      </c>
      <c r="H129" s="158">
        <v>681635</v>
      </c>
      <c r="I129" s="158">
        <v>0</v>
      </c>
      <c r="J129" s="159">
        <v>1838090</v>
      </c>
    </row>
    <row r="130" spans="1:10">
      <c r="A130" t="s">
        <v>411</v>
      </c>
      <c r="B130" t="str">
        <f t="shared" si="4"/>
        <v>6</v>
      </c>
      <c r="C130" t="str">
        <f t="shared" si="5"/>
        <v>63</v>
      </c>
      <c r="D130">
        <f t="shared" si="6"/>
        <v>633</v>
      </c>
      <c r="E130">
        <f t="shared" si="7"/>
        <v>6330</v>
      </c>
      <c r="F130" s="108" t="s">
        <v>260</v>
      </c>
      <c r="G130" s="109" t="s">
        <v>569</v>
      </c>
      <c r="H130" s="158">
        <v>0</v>
      </c>
      <c r="I130" s="158">
        <v>0</v>
      </c>
      <c r="J130" s="159">
        <v>203280</v>
      </c>
    </row>
    <row r="131" spans="1:10">
      <c r="A131" t="s">
        <v>411</v>
      </c>
      <c r="B131" t="str">
        <f t="shared" si="4"/>
        <v>6</v>
      </c>
      <c r="C131" t="str">
        <f t="shared" si="5"/>
        <v>63</v>
      </c>
      <c r="D131">
        <f t="shared" si="6"/>
        <v>634</v>
      </c>
      <c r="E131">
        <f t="shared" si="7"/>
        <v>6343</v>
      </c>
      <c r="F131" s="108" t="s">
        <v>262</v>
      </c>
      <c r="G131" s="109" t="s">
        <v>263</v>
      </c>
      <c r="H131" s="158">
        <v>0</v>
      </c>
      <c r="I131" s="158">
        <v>0</v>
      </c>
      <c r="J131" s="159">
        <v>191624</v>
      </c>
    </row>
    <row r="132" spans="1:10">
      <c r="A132" t="s">
        <v>411</v>
      </c>
      <c r="B132" t="str">
        <f t="shared" si="4"/>
        <v>6</v>
      </c>
      <c r="C132" t="str">
        <f t="shared" si="5"/>
        <v>63</v>
      </c>
      <c r="D132">
        <f t="shared" si="6"/>
        <v>638</v>
      </c>
      <c r="E132">
        <f t="shared" si="7"/>
        <v>6383</v>
      </c>
      <c r="F132" s="108" t="s">
        <v>266</v>
      </c>
      <c r="G132" s="109" t="s">
        <v>267</v>
      </c>
      <c r="H132" s="158">
        <v>6987934</v>
      </c>
      <c r="I132" s="158">
        <v>7367031</v>
      </c>
      <c r="J132" s="159">
        <v>4978380</v>
      </c>
    </row>
    <row r="133" spans="1:10">
      <c r="A133" t="s">
        <v>411</v>
      </c>
      <c r="B133" t="str">
        <f t="shared" si="4"/>
        <v>6</v>
      </c>
      <c r="C133" t="str">
        <f t="shared" si="5"/>
        <v>63</v>
      </c>
      <c r="D133">
        <f t="shared" si="6"/>
        <v>638</v>
      </c>
      <c r="E133">
        <f t="shared" si="7"/>
        <v>6383</v>
      </c>
      <c r="F133" s="108" t="s">
        <v>570</v>
      </c>
      <c r="G133" s="109" t="s">
        <v>571</v>
      </c>
      <c r="H133" s="158">
        <v>0</v>
      </c>
      <c r="I133" s="158">
        <v>0</v>
      </c>
      <c r="J133" s="159">
        <v>3951950</v>
      </c>
    </row>
    <row r="134" spans="1:10">
      <c r="A134" t="s">
        <v>411</v>
      </c>
      <c r="B134" t="str">
        <f t="shared" si="4"/>
        <v>6</v>
      </c>
      <c r="C134" t="str">
        <f t="shared" si="5"/>
        <v>63</v>
      </c>
      <c r="D134">
        <f t="shared" si="6"/>
        <v>638</v>
      </c>
      <c r="E134">
        <f t="shared" si="7"/>
        <v>6384</v>
      </c>
      <c r="F134" s="108" t="s">
        <v>268</v>
      </c>
      <c r="G134" s="109" t="s">
        <v>572</v>
      </c>
      <c r="H134" s="158">
        <v>4478600</v>
      </c>
      <c r="I134" s="158">
        <v>19503431</v>
      </c>
      <c r="J134" s="159">
        <v>11221265</v>
      </c>
    </row>
    <row r="135" spans="1:10">
      <c r="A135" t="s">
        <v>412</v>
      </c>
      <c r="B135" t="str">
        <f t="shared" ref="B135:B179" si="17">LEFT(C135,1)</f>
        <v>6</v>
      </c>
      <c r="C135" t="str">
        <f t="shared" ref="C135:C179" si="18">LEFT(D135,2)</f>
        <v>64</v>
      </c>
      <c r="D135">
        <f t="shared" ref="D135:D179" si="19">_xlfn.NUMBERVALUE(LEFT(E135,3))</f>
        <v>641</v>
      </c>
      <c r="E135">
        <f t="shared" ref="E135:E180" si="20">_xlfn.NUMBERVALUE(LEFT(F135,4))</f>
        <v>6411</v>
      </c>
      <c r="F135" s="108" t="s">
        <v>573</v>
      </c>
      <c r="G135" s="109" t="s">
        <v>574</v>
      </c>
      <c r="H135" s="158">
        <v>816000</v>
      </c>
      <c r="I135" s="158">
        <v>816000</v>
      </c>
      <c r="J135" s="159">
        <v>18436</v>
      </c>
    </row>
    <row r="136" spans="1:10">
      <c r="A136" t="s">
        <v>412</v>
      </c>
      <c r="B136" t="str">
        <f t="shared" si="17"/>
        <v>6</v>
      </c>
      <c r="C136" t="str">
        <f t="shared" si="18"/>
        <v>64</v>
      </c>
      <c r="D136">
        <f t="shared" si="19"/>
        <v>641</v>
      </c>
      <c r="E136">
        <f t="shared" si="20"/>
        <v>6412</v>
      </c>
      <c r="F136" s="108" t="s">
        <v>270</v>
      </c>
      <c r="G136" s="109" t="s">
        <v>271</v>
      </c>
      <c r="H136" s="158">
        <v>1104000</v>
      </c>
      <c r="I136" s="158">
        <v>1276000</v>
      </c>
      <c r="J136" s="159">
        <v>1456000</v>
      </c>
    </row>
    <row r="137" spans="1:10">
      <c r="A137" t="s">
        <v>412</v>
      </c>
      <c r="B137" t="str">
        <f t="shared" si="17"/>
        <v>6</v>
      </c>
      <c r="C137" t="str">
        <f t="shared" si="18"/>
        <v>64</v>
      </c>
      <c r="D137">
        <f t="shared" si="19"/>
        <v>641</v>
      </c>
      <c r="E137">
        <f t="shared" si="20"/>
        <v>6414</v>
      </c>
      <c r="F137" s="108" t="s">
        <v>274</v>
      </c>
      <c r="G137" s="109" t="s">
        <v>275</v>
      </c>
      <c r="H137" s="158">
        <v>1392687</v>
      </c>
      <c r="I137" s="158">
        <v>1403967</v>
      </c>
      <c r="J137" s="159">
        <v>1492622</v>
      </c>
    </row>
    <row r="138" spans="1:10">
      <c r="A138" t="s">
        <v>412</v>
      </c>
      <c r="B138" t="str">
        <f t="shared" si="17"/>
        <v>6</v>
      </c>
      <c r="C138" t="str">
        <f t="shared" si="18"/>
        <v>64</v>
      </c>
      <c r="D138">
        <f t="shared" si="19"/>
        <v>641</v>
      </c>
      <c r="E138">
        <f t="shared" si="20"/>
        <v>6418</v>
      </c>
      <c r="F138" s="108" t="s">
        <v>277</v>
      </c>
      <c r="G138" s="109" t="s">
        <v>278</v>
      </c>
      <c r="H138" s="158">
        <v>0</v>
      </c>
      <c r="I138" s="158">
        <v>70630</v>
      </c>
      <c r="J138" s="159">
        <v>98551</v>
      </c>
    </row>
    <row r="139" spans="1:10">
      <c r="A139" t="s">
        <v>412</v>
      </c>
      <c r="B139" t="str">
        <f t="shared" si="17"/>
        <v>6</v>
      </c>
      <c r="C139" t="str">
        <f t="shared" si="18"/>
        <v>64</v>
      </c>
      <c r="D139">
        <f t="shared" si="19"/>
        <v>646</v>
      </c>
      <c r="E139">
        <f t="shared" si="20"/>
        <v>6460</v>
      </c>
      <c r="F139" s="108" t="s">
        <v>575</v>
      </c>
      <c r="G139" s="109" t="s">
        <v>576</v>
      </c>
      <c r="H139" s="158">
        <v>0</v>
      </c>
      <c r="I139" s="158">
        <v>0</v>
      </c>
      <c r="J139" s="159">
        <v>195900</v>
      </c>
    </row>
    <row r="140" spans="1:10">
      <c r="A140" s="124" t="s">
        <v>412</v>
      </c>
      <c r="B140" s="124" t="str">
        <f t="shared" ref="B140" si="21">LEFT(C140,1)</f>
        <v>6</v>
      </c>
      <c r="C140" s="124" t="str">
        <f t="shared" ref="C140" si="22">LEFT(D140,2)</f>
        <v>64</v>
      </c>
      <c r="D140" s="124">
        <f t="shared" ref="D140" si="23">_xlfn.NUMBERVALUE(LEFT(E140,3))</f>
        <v>646</v>
      </c>
      <c r="E140" s="124">
        <f t="shared" ref="E140" si="24">_xlfn.NUMBERVALUE(LEFT(F140,4))</f>
        <v>6461</v>
      </c>
      <c r="F140" s="153">
        <v>646100</v>
      </c>
      <c r="G140" s="152" t="s">
        <v>577</v>
      </c>
      <c r="H140" s="158">
        <v>360000</v>
      </c>
      <c r="I140" s="158">
        <v>766628</v>
      </c>
      <c r="J140" s="160"/>
    </row>
    <row r="141" spans="1:10">
      <c r="A141" t="s">
        <v>412</v>
      </c>
      <c r="B141" t="str">
        <f t="shared" si="17"/>
        <v>6</v>
      </c>
      <c r="C141" t="str">
        <f t="shared" si="18"/>
        <v>64</v>
      </c>
      <c r="D141">
        <f t="shared" si="19"/>
        <v>646</v>
      </c>
      <c r="E141">
        <f t="shared" si="20"/>
        <v>6462</v>
      </c>
      <c r="F141" s="108" t="s">
        <v>279</v>
      </c>
      <c r="G141" s="109" t="s">
        <v>280</v>
      </c>
      <c r="H141" s="158">
        <v>17530</v>
      </c>
      <c r="I141" s="158">
        <v>13710</v>
      </c>
      <c r="J141" s="159">
        <v>22930</v>
      </c>
    </row>
    <row r="142" spans="1:10">
      <c r="A142" t="s">
        <v>412</v>
      </c>
      <c r="B142" t="str">
        <f t="shared" si="17"/>
        <v>6</v>
      </c>
      <c r="C142" t="str">
        <f t="shared" si="18"/>
        <v>64</v>
      </c>
      <c r="D142">
        <f t="shared" si="19"/>
        <v>646</v>
      </c>
      <c r="E142">
        <f t="shared" si="20"/>
        <v>6463</v>
      </c>
      <c r="F142" s="108" t="s">
        <v>578</v>
      </c>
      <c r="G142" s="109" t="s">
        <v>579</v>
      </c>
      <c r="H142" s="158">
        <v>0</v>
      </c>
      <c r="I142" s="158">
        <v>40000</v>
      </c>
      <c r="J142" s="159">
        <v>35000</v>
      </c>
    </row>
    <row r="143" spans="1:10">
      <c r="A143" t="s">
        <v>412</v>
      </c>
      <c r="B143" t="str">
        <f t="shared" si="17"/>
        <v>6</v>
      </c>
      <c r="C143" t="str">
        <f t="shared" si="18"/>
        <v>64</v>
      </c>
      <c r="D143">
        <f t="shared" si="19"/>
        <v>646</v>
      </c>
      <c r="E143">
        <f t="shared" si="20"/>
        <v>6468</v>
      </c>
      <c r="F143" s="108" t="s">
        <v>281</v>
      </c>
      <c r="G143" s="109" t="s">
        <v>282</v>
      </c>
      <c r="H143" s="158">
        <v>186500</v>
      </c>
      <c r="I143" s="158">
        <v>869352</v>
      </c>
      <c r="J143" s="159">
        <v>4388203</v>
      </c>
    </row>
    <row r="144" spans="1:10">
      <c r="A144" t="s">
        <v>412</v>
      </c>
      <c r="B144" t="str">
        <f t="shared" si="17"/>
        <v>6</v>
      </c>
      <c r="C144" t="str">
        <f t="shared" si="18"/>
        <v>64</v>
      </c>
      <c r="D144">
        <f t="shared" si="19"/>
        <v>647</v>
      </c>
      <c r="E144">
        <f t="shared" si="20"/>
        <v>6478</v>
      </c>
      <c r="F144" s="108" t="s">
        <v>286</v>
      </c>
      <c r="G144" s="109" t="s">
        <v>580</v>
      </c>
      <c r="H144" s="158">
        <v>0</v>
      </c>
      <c r="I144" s="158">
        <v>0</v>
      </c>
      <c r="J144" s="159">
        <v>2500</v>
      </c>
    </row>
    <row r="145" spans="1:14">
      <c r="A145" t="s">
        <v>412</v>
      </c>
      <c r="B145" t="str">
        <f t="shared" si="17"/>
        <v>6</v>
      </c>
      <c r="C145" t="str">
        <f t="shared" si="18"/>
        <v>64</v>
      </c>
      <c r="D145">
        <f t="shared" si="19"/>
        <v>648</v>
      </c>
      <c r="E145">
        <f t="shared" si="20"/>
        <v>6480</v>
      </c>
      <c r="F145" s="108" t="s">
        <v>288</v>
      </c>
      <c r="G145" s="109" t="s">
        <v>581</v>
      </c>
      <c r="H145" s="158">
        <v>0</v>
      </c>
      <c r="I145" s="158">
        <v>0</v>
      </c>
      <c r="J145" s="159">
        <v>1011608</v>
      </c>
    </row>
    <row r="146" spans="1:14">
      <c r="A146" t="s">
        <v>413</v>
      </c>
      <c r="B146" t="str">
        <f t="shared" si="17"/>
        <v>6</v>
      </c>
      <c r="C146" t="str">
        <f t="shared" si="18"/>
        <v>65</v>
      </c>
      <c r="D146">
        <f t="shared" si="19"/>
        <v>651</v>
      </c>
      <c r="E146">
        <f t="shared" si="20"/>
        <v>6515</v>
      </c>
      <c r="F146" s="108" t="s">
        <v>289</v>
      </c>
      <c r="G146" s="109" t="s">
        <v>290</v>
      </c>
      <c r="H146" s="158">
        <v>0</v>
      </c>
      <c r="I146" s="158">
        <v>0</v>
      </c>
      <c r="J146" s="159">
        <v>59783</v>
      </c>
    </row>
    <row r="147" spans="1:14">
      <c r="A147" s="124" t="s">
        <v>413</v>
      </c>
      <c r="B147" s="124" t="str">
        <f t="shared" ref="B147" si="25">LEFT(C147,1)</f>
        <v>6</v>
      </c>
      <c r="C147" s="124" t="str">
        <f t="shared" ref="C147" si="26">LEFT(D147,2)</f>
        <v>65</v>
      </c>
      <c r="D147" s="124">
        <f t="shared" ref="D147" si="27">_xlfn.NUMBERVALUE(LEFT(E147,3))</f>
        <v>652</v>
      </c>
      <c r="E147" s="124">
        <f t="shared" si="20"/>
        <v>6525</v>
      </c>
      <c r="F147" s="153">
        <v>652500</v>
      </c>
      <c r="G147" s="152" t="s">
        <v>582</v>
      </c>
      <c r="H147" s="158">
        <v>0</v>
      </c>
      <c r="I147" s="158">
        <v>0</v>
      </c>
      <c r="J147" s="160"/>
    </row>
    <row r="148" spans="1:14">
      <c r="A148" t="s">
        <v>413</v>
      </c>
      <c r="B148" t="str">
        <f t="shared" si="17"/>
        <v>6</v>
      </c>
      <c r="C148" t="str">
        <f t="shared" si="18"/>
        <v>65</v>
      </c>
      <c r="D148">
        <f t="shared" si="19"/>
        <v>656</v>
      </c>
      <c r="E148">
        <f t="shared" si="20"/>
        <v>6560</v>
      </c>
      <c r="F148" s="108" t="s">
        <v>291</v>
      </c>
      <c r="G148" s="109" t="s">
        <v>583</v>
      </c>
      <c r="H148" s="158">
        <v>650903</v>
      </c>
      <c r="I148" s="158">
        <v>0</v>
      </c>
      <c r="J148" s="159">
        <v>2364134</v>
      </c>
    </row>
    <row r="149" spans="1:14">
      <c r="A149" t="s">
        <v>413</v>
      </c>
      <c r="B149" t="str">
        <f t="shared" si="17"/>
        <v>6</v>
      </c>
      <c r="C149" t="str">
        <f t="shared" si="18"/>
        <v>65</v>
      </c>
      <c r="D149">
        <f t="shared" si="19"/>
        <v>658</v>
      </c>
      <c r="E149">
        <f t="shared" si="20"/>
        <v>6582</v>
      </c>
      <c r="F149" s="108" t="s">
        <v>294</v>
      </c>
      <c r="G149" s="109" t="s">
        <v>295</v>
      </c>
      <c r="H149" s="158">
        <v>925050</v>
      </c>
      <c r="I149" s="158">
        <v>99523</v>
      </c>
      <c r="J149" s="159">
        <v>901625</v>
      </c>
    </row>
    <row r="150" spans="1:14">
      <c r="A150" t="s">
        <v>413</v>
      </c>
      <c r="B150" t="str">
        <f t="shared" si="17"/>
        <v>6</v>
      </c>
      <c r="C150" t="str">
        <f t="shared" si="18"/>
        <v>65</v>
      </c>
      <c r="D150">
        <f t="shared" si="19"/>
        <v>658</v>
      </c>
      <c r="E150">
        <f t="shared" si="20"/>
        <v>6588</v>
      </c>
      <c r="F150" s="108" t="s">
        <v>296</v>
      </c>
      <c r="G150" s="109" t="s">
        <v>297</v>
      </c>
      <c r="H150" s="158">
        <v>0</v>
      </c>
      <c r="I150" s="158">
        <v>0</v>
      </c>
      <c r="J150" s="159">
        <v>139574</v>
      </c>
    </row>
    <row r="151" spans="1:14">
      <c r="A151" t="s">
        <v>414</v>
      </c>
      <c r="B151" t="str">
        <f t="shared" si="17"/>
        <v>6</v>
      </c>
      <c r="C151" t="str">
        <f t="shared" si="18"/>
        <v>66</v>
      </c>
      <c r="D151">
        <f t="shared" si="19"/>
        <v>661</v>
      </c>
      <c r="E151">
        <f t="shared" si="20"/>
        <v>6611</v>
      </c>
      <c r="F151" s="108" t="s">
        <v>299</v>
      </c>
      <c r="G151" s="109" t="s">
        <v>300</v>
      </c>
      <c r="H151" s="158">
        <v>35367914</v>
      </c>
      <c r="I151" s="158">
        <v>36176943</v>
      </c>
      <c r="J151" s="159">
        <v>36719852</v>
      </c>
      <c r="L151">
        <f t="shared" ref="L151:M151" si="28">H151/SUM(H151:H162)</f>
        <v>0.70702843709352714</v>
      </c>
      <c r="M151">
        <f t="shared" si="28"/>
        <v>0.70146466487127213</v>
      </c>
      <c r="N151">
        <f>J151/SUM(J151:J162)</f>
        <v>0.63723066765470215</v>
      </c>
    </row>
    <row r="152" spans="1:14">
      <c r="A152" t="s">
        <v>414</v>
      </c>
      <c r="B152" t="str">
        <f t="shared" si="17"/>
        <v>6</v>
      </c>
      <c r="C152" t="str">
        <f t="shared" si="18"/>
        <v>66</v>
      </c>
      <c r="D152">
        <f t="shared" si="19"/>
        <v>661</v>
      </c>
      <c r="E152">
        <f t="shared" si="20"/>
        <v>6612</v>
      </c>
      <c r="F152" s="108" t="s">
        <v>304</v>
      </c>
      <c r="G152" s="109" t="s">
        <v>584</v>
      </c>
      <c r="H152" s="158">
        <v>310000</v>
      </c>
      <c r="I152" s="158">
        <v>330000</v>
      </c>
      <c r="J152" s="159">
        <v>550000</v>
      </c>
    </row>
    <row r="153" spans="1:14">
      <c r="A153" t="s">
        <v>414</v>
      </c>
      <c r="B153" t="str">
        <f t="shared" si="17"/>
        <v>6</v>
      </c>
      <c r="C153" t="str">
        <f t="shared" si="18"/>
        <v>66</v>
      </c>
      <c r="D153">
        <f t="shared" si="19"/>
        <v>661</v>
      </c>
      <c r="E153">
        <f t="shared" si="20"/>
        <v>6618</v>
      </c>
      <c r="F153" s="108" t="s">
        <v>310</v>
      </c>
      <c r="G153" s="109" t="s">
        <v>311</v>
      </c>
      <c r="H153" s="158">
        <v>0</v>
      </c>
      <c r="I153" s="158">
        <v>0</v>
      </c>
      <c r="J153" s="159">
        <v>2757250</v>
      </c>
    </row>
    <row r="154" spans="1:14">
      <c r="A154" s="124" t="s">
        <v>414</v>
      </c>
      <c r="D154" s="124">
        <f t="shared" ref="D154" si="29">_xlfn.NUMBERVALUE(LEFT(E154,3))</f>
        <v>662</v>
      </c>
      <c r="E154" s="124">
        <f t="shared" ref="E154" si="30">_xlfn.NUMBERVALUE(LEFT(F154,4))</f>
        <v>6621</v>
      </c>
      <c r="F154" s="153">
        <v>662100</v>
      </c>
      <c r="G154" s="152" t="s">
        <v>300</v>
      </c>
      <c r="H154" s="158">
        <v>0</v>
      </c>
      <c r="I154" s="161">
        <v>297000</v>
      </c>
      <c r="J154" s="160"/>
    </row>
    <row r="155" spans="1:14">
      <c r="A155" t="s">
        <v>414</v>
      </c>
      <c r="B155" t="str">
        <f t="shared" si="17"/>
        <v>6</v>
      </c>
      <c r="C155" t="str">
        <f t="shared" si="18"/>
        <v>66</v>
      </c>
      <c r="D155">
        <f t="shared" si="19"/>
        <v>663</v>
      </c>
      <c r="E155">
        <f t="shared" si="20"/>
        <v>6631</v>
      </c>
      <c r="F155" s="108" t="s">
        <v>585</v>
      </c>
      <c r="G155" s="109" t="s">
        <v>586</v>
      </c>
      <c r="H155" s="158">
        <v>4980000</v>
      </c>
      <c r="I155" s="158">
        <v>5315000</v>
      </c>
      <c r="J155" s="159">
        <v>5805000</v>
      </c>
    </row>
    <row r="156" spans="1:14">
      <c r="A156" t="s">
        <v>414</v>
      </c>
      <c r="B156" t="str">
        <f t="shared" si="17"/>
        <v>6</v>
      </c>
      <c r="C156" t="str">
        <f t="shared" si="18"/>
        <v>66</v>
      </c>
      <c r="D156">
        <f t="shared" si="19"/>
        <v>663</v>
      </c>
      <c r="E156">
        <f t="shared" si="20"/>
        <v>6634</v>
      </c>
      <c r="F156" s="108" t="s">
        <v>312</v>
      </c>
      <c r="G156" s="109" t="s">
        <v>587</v>
      </c>
      <c r="H156" s="158">
        <v>1965000</v>
      </c>
      <c r="I156" s="158">
        <v>2090000</v>
      </c>
      <c r="J156" s="159">
        <v>2330000</v>
      </c>
    </row>
    <row r="157" spans="1:14">
      <c r="A157" t="s">
        <v>414</v>
      </c>
      <c r="B157" t="str">
        <f t="shared" si="17"/>
        <v>6</v>
      </c>
      <c r="C157" t="str">
        <f t="shared" si="18"/>
        <v>66</v>
      </c>
      <c r="D157">
        <f t="shared" si="19"/>
        <v>663</v>
      </c>
      <c r="E157">
        <f t="shared" si="20"/>
        <v>6638</v>
      </c>
      <c r="F157" s="108" t="s">
        <v>314</v>
      </c>
      <c r="G157" s="109" t="s">
        <v>315</v>
      </c>
      <c r="H157" s="158">
        <v>4110000</v>
      </c>
      <c r="I157" s="158">
        <v>3960000</v>
      </c>
      <c r="J157" s="159">
        <v>5015495</v>
      </c>
    </row>
    <row r="158" spans="1:14">
      <c r="A158" t="s">
        <v>414</v>
      </c>
      <c r="B158" t="str">
        <f t="shared" si="17"/>
        <v>6</v>
      </c>
      <c r="C158" t="str">
        <f t="shared" si="18"/>
        <v>66</v>
      </c>
      <c r="D158">
        <f t="shared" si="19"/>
        <v>663</v>
      </c>
      <c r="E158">
        <f t="shared" si="20"/>
        <v>6638</v>
      </c>
      <c r="F158" s="108" t="s">
        <v>588</v>
      </c>
      <c r="G158" s="109" t="s">
        <v>589</v>
      </c>
      <c r="H158" s="158">
        <v>0</v>
      </c>
      <c r="I158" s="158">
        <v>0</v>
      </c>
      <c r="J158" s="159">
        <v>54000</v>
      </c>
    </row>
    <row r="159" spans="1:14">
      <c r="A159" t="s">
        <v>414</v>
      </c>
      <c r="B159" t="str">
        <f t="shared" si="17"/>
        <v>6</v>
      </c>
      <c r="C159" t="str">
        <f t="shared" si="18"/>
        <v>66</v>
      </c>
      <c r="D159">
        <f t="shared" si="19"/>
        <v>664</v>
      </c>
      <c r="E159">
        <f t="shared" si="20"/>
        <v>6641</v>
      </c>
      <c r="F159" s="108" t="s">
        <v>319</v>
      </c>
      <c r="G159" s="109" t="s">
        <v>320</v>
      </c>
      <c r="H159" s="158">
        <v>3290412</v>
      </c>
      <c r="I159" s="158">
        <v>3402493</v>
      </c>
      <c r="J159" s="159">
        <v>3875277</v>
      </c>
    </row>
    <row r="160" spans="1:14">
      <c r="A160" t="s">
        <v>414</v>
      </c>
      <c r="B160" t="str">
        <f t="shared" si="17"/>
        <v>6</v>
      </c>
      <c r="C160" t="str">
        <f t="shared" si="18"/>
        <v>66</v>
      </c>
      <c r="D160">
        <f t="shared" si="19"/>
        <v>668</v>
      </c>
      <c r="E160">
        <f t="shared" si="20"/>
        <v>6683</v>
      </c>
      <c r="F160" s="108" t="s">
        <v>590</v>
      </c>
      <c r="G160" s="109" t="s">
        <v>591</v>
      </c>
      <c r="H160" s="158">
        <v>0</v>
      </c>
      <c r="I160" s="158">
        <v>0</v>
      </c>
      <c r="J160" s="159">
        <v>20000</v>
      </c>
    </row>
    <row r="161" spans="1:10">
      <c r="A161" t="s">
        <v>414</v>
      </c>
      <c r="B161" t="str">
        <f t="shared" si="17"/>
        <v>6</v>
      </c>
      <c r="C161" t="str">
        <f t="shared" si="18"/>
        <v>66</v>
      </c>
      <c r="D161">
        <f t="shared" si="19"/>
        <v>668</v>
      </c>
      <c r="E161">
        <f t="shared" si="20"/>
        <v>6687</v>
      </c>
      <c r="F161" s="108" t="s">
        <v>325</v>
      </c>
      <c r="G161" s="109" t="s">
        <v>326</v>
      </c>
      <c r="H161" s="158">
        <v>0</v>
      </c>
      <c r="I161" s="158">
        <v>2000</v>
      </c>
      <c r="J161" s="159">
        <v>1091</v>
      </c>
    </row>
    <row r="162" spans="1:10">
      <c r="A162" t="s">
        <v>414</v>
      </c>
      <c r="B162" t="str">
        <f t="shared" si="17"/>
        <v>6</v>
      </c>
      <c r="C162" t="str">
        <f t="shared" si="18"/>
        <v>66</v>
      </c>
      <c r="D162">
        <f t="shared" si="19"/>
        <v>668</v>
      </c>
      <c r="E162">
        <f t="shared" si="20"/>
        <v>6688</v>
      </c>
      <c r="F162" s="108" t="s">
        <v>592</v>
      </c>
      <c r="G162" s="109" t="s">
        <v>593</v>
      </c>
      <c r="H162" s="158">
        <v>0</v>
      </c>
      <c r="I162" s="158">
        <v>0</v>
      </c>
      <c r="J162" s="159">
        <v>496148</v>
      </c>
    </row>
    <row r="163" spans="1:10">
      <c r="A163" s="124" t="s">
        <v>415</v>
      </c>
      <c r="B163" s="124" t="str">
        <f t="shared" ref="B163" si="31">LEFT(C163,1)</f>
        <v>6</v>
      </c>
      <c r="C163" s="124" t="str">
        <f t="shared" ref="C163" si="32">LEFT(D163,2)</f>
        <v>67</v>
      </c>
      <c r="D163" s="124">
        <f t="shared" ref="D163" si="33">_xlfn.NUMBERVALUE(LEFT(E163,3))</f>
        <v>671</v>
      </c>
      <c r="E163" s="124">
        <f t="shared" ref="E163" si="34">_xlfn.NUMBERVALUE(LEFT(F163,4))</f>
        <v>6712</v>
      </c>
      <c r="F163" s="153">
        <v>671200</v>
      </c>
      <c r="G163" s="152" t="s">
        <v>594</v>
      </c>
      <c r="H163" s="158">
        <v>7904467</v>
      </c>
      <c r="I163" s="158">
        <v>7637078</v>
      </c>
      <c r="J163" s="160"/>
    </row>
    <row r="164" spans="1:10">
      <c r="A164" s="124" t="s">
        <v>424</v>
      </c>
      <c r="B164" t="str">
        <f t="shared" si="17"/>
        <v>6</v>
      </c>
      <c r="C164" t="str">
        <f t="shared" si="18"/>
        <v>67</v>
      </c>
      <c r="D164">
        <f t="shared" si="19"/>
        <v>676</v>
      </c>
      <c r="E164">
        <f t="shared" si="20"/>
        <v>6760</v>
      </c>
      <c r="F164" s="108" t="s">
        <v>595</v>
      </c>
      <c r="G164" s="109" t="s">
        <v>596</v>
      </c>
      <c r="H164" s="158">
        <v>0</v>
      </c>
      <c r="I164" s="158">
        <v>0</v>
      </c>
      <c r="J164" s="159">
        <v>984052</v>
      </c>
    </row>
    <row r="165" spans="1:10">
      <c r="A165" t="s">
        <v>418</v>
      </c>
      <c r="B165" t="str">
        <f t="shared" si="17"/>
        <v>6</v>
      </c>
      <c r="C165" t="str">
        <f t="shared" si="18"/>
        <v>68</v>
      </c>
      <c r="D165">
        <f t="shared" si="19"/>
        <v>681</v>
      </c>
      <c r="E165">
        <f t="shared" si="20"/>
        <v>6813</v>
      </c>
      <c r="F165" s="108" t="s">
        <v>330</v>
      </c>
      <c r="G165" s="109" t="s">
        <v>331</v>
      </c>
      <c r="H165" s="158">
        <v>3531374</v>
      </c>
      <c r="I165" s="158">
        <v>3834084</v>
      </c>
      <c r="J165" s="159">
        <v>4925482</v>
      </c>
    </row>
    <row r="166" spans="1:10">
      <c r="A166" t="s">
        <v>420</v>
      </c>
      <c r="B166" t="str">
        <f t="shared" si="17"/>
        <v>7</v>
      </c>
      <c r="C166" t="str">
        <f t="shared" si="18"/>
        <v>70</v>
      </c>
      <c r="D166">
        <f t="shared" si="19"/>
        <v>701</v>
      </c>
      <c r="E166">
        <f t="shared" si="20"/>
        <v>7011</v>
      </c>
      <c r="F166" s="108" t="s">
        <v>333</v>
      </c>
      <c r="G166" s="109" t="s">
        <v>334</v>
      </c>
      <c r="H166" s="158">
        <v>-366135552</v>
      </c>
      <c r="I166" s="158">
        <v>-240296378</v>
      </c>
      <c r="J166" s="159">
        <v>-111840096</v>
      </c>
    </row>
    <row r="167" spans="1:10">
      <c r="A167" t="s">
        <v>420</v>
      </c>
      <c r="B167" t="str">
        <f t="shared" si="17"/>
        <v>7</v>
      </c>
      <c r="C167" t="str">
        <f t="shared" si="18"/>
        <v>70</v>
      </c>
      <c r="D167">
        <f t="shared" si="19"/>
        <v>701</v>
      </c>
      <c r="E167">
        <f t="shared" si="20"/>
        <v>7011</v>
      </c>
      <c r="F167" s="108" t="s">
        <v>597</v>
      </c>
      <c r="G167" s="109" t="s">
        <v>598</v>
      </c>
      <c r="H167" s="158">
        <v>0</v>
      </c>
      <c r="I167" s="158">
        <v>0</v>
      </c>
      <c r="J167" s="159">
        <v>-175893666</v>
      </c>
    </row>
    <row r="168" spans="1:10">
      <c r="A168" t="s">
        <v>421</v>
      </c>
      <c r="B168" t="str">
        <f t="shared" si="17"/>
        <v>7</v>
      </c>
      <c r="C168" t="str">
        <f t="shared" si="18"/>
        <v>70</v>
      </c>
      <c r="D168">
        <f t="shared" si="19"/>
        <v>706</v>
      </c>
      <c r="E168">
        <f t="shared" si="20"/>
        <v>7061</v>
      </c>
      <c r="F168" s="108" t="s">
        <v>335</v>
      </c>
      <c r="G168" s="109" t="s">
        <v>336</v>
      </c>
      <c r="H168" s="158">
        <v>-118841793</v>
      </c>
      <c r="I168" s="158">
        <v>-145674205</v>
      </c>
      <c r="J168" s="159">
        <v>-291645980</v>
      </c>
    </row>
    <row r="169" spans="1:10">
      <c r="A169" s="124" t="s">
        <v>421</v>
      </c>
      <c r="B169" s="124" t="str">
        <f t="shared" ref="B169" si="35">LEFT(C169,1)</f>
        <v>7</v>
      </c>
      <c r="C169" s="124" t="str">
        <f t="shared" ref="C169" si="36">LEFT(D169,2)</f>
        <v>70</v>
      </c>
      <c r="D169" s="124">
        <f t="shared" ref="D169" si="37">_xlfn.NUMBERVALUE(LEFT(E169,3))</f>
        <v>706</v>
      </c>
      <c r="E169" s="124">
        <f t="shared" ref="E169" si="38">_xlfn.NUMBERVALUE(LEFT(F169,4))</f>
        <v>7062</v>
      </c>
      <c r="F169" s="153">
        <v>706200</v>
      </c>
      <c r="G169" s="152" t="s">
        <v>599</v>
      </c>
      <c r="H169" s="158">
        <v>-700000</v>
      </c>
      <c r="I169" s="158">
        <v>0</v>
      </c>
      <c r="J169" s="160"/>
    </row>
    <row r="170" spans="1:10">
      <c r="A170" t="s">
        <v>423</v>
      </c>
      <c r="B170" t="str">
        <f t="shared" si="17"/>
        <v>7</v>
      </c>
      <c r="C170" t="str">
        <f t="shared" si="18"/>
        <v>75</v>
      </c>
      <c r="D170">
        <f t="shared" si="19"/>
        <v>756</v>
      </c>
      <c r="E170">
        <f t="shared" si="20"/>
        <v>7560</v>
      </c>
      <c r="F170" s="108" t="s">
        <v>339</v>
      </c>
      <c r="G170" s="109" t="s">
        <v>600</v>
      </c>
      <c r="H170" s="158">
        <v>-613059</v>
      </c>
      <c r="I170" s="158">
        <v>0</v>
      </c>
      <c r="J170" s="159">
        <v>-2665977</v>
      </c>
    </row>
    <row r="171" spans="1:10">
      <c r="A171" t="s">
        <v>423</v>
      </c>
      <c r="B171" t="str">
        <f t="shared" si="17"/>
        <v>7</v>
      </c>
      <c r="C171" t="str">
        <f t="shared" si="18"/>
        <v>75</v>
      </c>
      <c r="D171">
        <f t="shared" si="19"/>
        <v>758</v>
      </c>
      <c r="E171">
        <f t="shared" si="20"/>
        <v>7588</v>
      </c>
      <c r="F171" s="108" t="s">
        <v>342</v>
      </c>
      <c r="G171" s="109" t="s">
        <v>601</v>
      </c>
      <c r="H171" s="158">
        <v>0</v>
      </c>
      <c r="I171" s="158">
        <v>0</v>
      </c>
      <c r="J171" s="159">
        <v>-5090725</v>
      </c>
    </row>
    <row r="172" spans="1:10">
      <c r="A172" t="s">
        <v>424</v>
      </c>
      <c r="B172" t="str">
        <f t="shared" ref="B172" si="39">LEFT(C172,1)</f>
        <v>7</v>
      </c>
      <c r="C172" t="str">
        <f t="shared" ref="C172" si="40">LEFT(D172,2)</f>
        <v>77</v>
      </c>
      <c r="D172">
        <f t="shared" ref="D172" si="41">_xlfn.NUMBERVALUE(LEFT(E172,3))</f>
        <v>774</v>
      </c>
      <c r="E172">
        <f t="shared" ref="E172" si="42">_xlfn.NUMBERVALUE(LEFT(F172,4))</f>
        <v>7740</v>
      </c>
      <c r="F172" s="108">
        <v>774000</v>
      </c>
      <c r="G172" s="109" t="s">
        <v>602</v>
      </c>
      <c r="H172" s="158">
        <v>0</v>
      </c>
      <c r="I172" s="158">
        <v>-4313136</v>
      </c>
      <c r="J172" s="159"/>
    </row>
    <row r="173" spans="1:10">
      <c r="A173" t="s">
        <v>424</v>
      </c>
      <c r="B173" t="str">
        <f t="shared" si="17"/>
        <v>7</v>
      </c>
      <c r="C173" t="str">
        <f t="shared" si="18"/>
        <v>77</v>
      </c>
      <c r="D173">
        <f t="shared" si="19"/>
        <v>776</v>
      </c>
      <c r="E173">
        <f t="shared" si="20"/>
        <v>7760</v>
      </c>
      <c r="F173" s="108" t="s">
        <v>346</v>
      </c>
      <c r="G173" s="109" t="s">
        <v>603</v>
      </c>
      <c r="H173" s="158">
        <v>0</v>
      </c>
      <c r="I173" s="158">
        <v>0</v>
      </c>
      <c r="J173" s="159">
        <v>-100098</v>
      </c>
    </row>
    <row r="174" spans="1:10">
      <c r="A174" t="s">
        <v>423</v>
      </c>
      <c r="B174" t="str">
        <f t="shared" si="17"/>
        <v>7</v>
      </c>
      <c r="C174" t="str">
        <f t="shared" si="18"/>
        <v>78</v>
      </c>
      <c r="D174">
        <f t="shared" si="19"/>
        <v>781</v>
      </c>
      <c r="E174">
        <f t="shared" si="20"/>
        <v>7810</v>
      </c>
      <c r="F174" s="108" t="s">
        <v>348</v>
      </c>
      <c r="G174" s="109" t="s">
        <v>349</v>
      </c>
      <c r="H174" s="158">
        <v>-1074231</v>
      </c>
      <c r="I174" s="158">
        <v>0</v>
      </c>
      <c r="J174" s="159">
        <v>-5549728</v>
      </c>
    </row>
    <row r="175" spans="1:10">
      <c r="A175" t="s">
        <v>439</v>
      </c>
      <c r="B175" t="str">
        <f t="shared" si="17"/>
        <v>7</v>
      </c>
      <c r="C175" t="str">
        <f t="shared" si="18"/>
        <v>79</v>
      </c>
      <c r="D175">
        <f t="shared" si="19"/>
        <v>791</v>
      </c>
      <c r="E175">
        <f t="shared" si="20"/>
        <v>7914</v>
      </c>
      <c r="F175" s="108" t="s">
        <v>604</v>
      </c>
      <c r="G175" s="109" t="s">
        <v>605</v>
      </c>
      <c r="H175" s="158">
        <v>0</v>
      </c>
      <c r="I175" s="158">
        <v>0</v>
      </c>
      <c r="J175" s="159">
        <v>-256022</v>
      </c>
    </row>
    <row r="176" spans="1:10">
      <c r="A176" t="s">
        <v>425</v>
      </c>
      <c r="B176" t="str">
        <f t="shared" si="17"/>
        <v>8</v>
      </c>
      <c r="C176" t="str">
        <f t="shared" si="18"/>
        <v>83</v>
      </c>
      <c r="D176">
        <f t="shared" si="19"/>
        <v>831</v>
      </c>
      <c r="E176">
        <f t="shared" si="20"/>
        <v>8310</v>
      </c>
      <c r="F176" s="108" t="s">
        <v>351</v>
      </c>
      <c r="G176" s="109" t="s">
        <v>352</v>
      </c>
      <c r="H176" s="158">
        <v>0</v>
      </c>
      <c r="I176" s="158">
        <v>0</v>
      </c>
      <c r="J176" s="159">
        <v>168010247</v>
      </c>
    </row>
    <row r="177" spans="1:10">
      <c r="A177" t="s">
        <v>425</v>
      </c>
      <c r="B177" t="str">
        <f t="shared" si="17"/>
        <v>8</v>
      </c>
      <c r="C177" t="str">
        <f t="shared" si="18"/>
        <v>84</v>
      </c>
      <c r="D177">
        <f t="shared" si="19"/>
        <v>841</v>
      </c>
      <c r="E177">
        <f t="shared" si="20"/>
        <v>8410</v>
      </c>
      <c r="F177" s="108" t="s">
        <v>353</v>
      </c>
      <c r="G177" s="109" t="s">
        <v>354</v>
      </c>
      <c r="H177" s="158">
        <v>0</v>
      </c>
      <c r="I177" s="158">
        <v>0</v>
      </c>
      <c r="J177" s="159">
        <v>-3685</v>
      </c>
    </row>
    <row r="178" spans="1:10">
      <c r="A178" t="s">
        <v>425</v>
      </c>
      <c r="B178" t="str">
        <f t="shared" si="17"/>
        <v>8</v>
      </c>
      <c r="C178" t="str">
        <f t="shared" si="18"/>
        <v>84</v>
      </c>
      <c r="D178">
        <f t="shared" si="19"/>
        <v>846</v>
      </c>
      <c r="E178">
        <f t="shared" si="20"/>
        <v>8460</v>
      </c>
      <c r="F178" s="108" t="s">
        <v>355</v>
      </c>
      <c r="G178" s="109" t="s">
        <v>356</v>
      </c>
      <c r="H178" s="158">
        <v>0</v>
      </c>
      <c r="I178" s="158">
        <v>0</v>
      </c>
      <c r="J178" s="159">
        <v>-859500</v>
      </c>
    </row>
    <row r="179" spans="1:10">
      <c r="A179" t="s">
        <v>425</v>
      </c>
      <c r="B179" t="str">
        <f t="shared" si="17"/>
        <v>8</v>
      </c>
      <c r="C179" t="str">
        <f t="shared" si="18"/>
        <v>89</v>
      </c>
      <c r="D179">
        <f t="shared" si="19"/>
        <v>891</v>
      </c>
      <c r="E179">
        <f t="shared" si="20"/>
        <v>8911</v>
      </c>
      <c r="F179" s="108" t="s">
        <v>357</v>
      </c>
      <c r="G179" s="109" t="s">
        <v>358</v>
      </c>
      <c r="H179" s="158">
        <v>0</v>
      </c>
      <c r="I179" s="158">
        <v>0</v>
      </c>
      <c r="J179" s="159">
        <v>19576425</v>
      </c>
    </row>
    <row r="180" spans="1:10">
      <c r="A180" s="124" t="s">
        <v>448</v>
      </c>
      <c r="B180" s="124" t="str">
        <f t="shared" ref="B180" si="43">LEFT(C180,1)</f>
        <v>8</v>
      </c>
      <c r="C180" s="124" t="str">
        <f t="shared" ref="C180" si="44">LEFT(D180,2)</f>
        <v>89</v>
      </c>
      <c r="D180" s="124">
        <f t="shared" ref="D180" si="45">_xlfn.NUMBERVALUE(LEFT(E180,3))</f>
        <v>895</v>
      </c>
      <c r="E180" s="124">
        <f t="shared" si="20"/>
        <v>8950</v>
      </c>
      <c r="F180" s="124">
        <v>895000</v>
      </c>
      <c r="G180" s="124" t="s">
        <v>606</v>
      </c>
      <c r="H180" s="158">
        <v>3378375</v>
      </c>
      <c r="I180" s="158">
        <v>3134450</v>
      </c>
    </row>
  </sheetData>
  <autoFilter ref="A1:J182" xr:uid="{00000000-0001-0000-1800-000000000000}"/>
  <pageMargins left="0.7" right="0.7" top="0.75" bottom="0.75" header="0.3" footer="0.3"/>
  <customProperties>
    <customPr name="AreLinksHighlight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C2:P103"/>
  <sheetViews>
    <sheetView showGridLines="0" topLeftCell="C43" zoomScale="115" zoomScaleNormal="115" workbookViewId="0">
      <selection activeCell="H53" sqref="H53"/>
    </sheetView>
  </sheetViews>
  <sheetFormatPr baseColWidth="10" defaultColWidth="11.3984375" defaultRowHeight="11.5" outlineLevelRow="1"/>
  <cols>
    <col min="3" max="3" width="35" bestFit="1" customWidth="1"/>
    <col min="4" max="4" width="7.8984375" customWidth="1"/>
    <col min="5" max="5" width="42" customWidth="1"/>
    <col min="9" max="9" width="1.3984375" customWidth="1"/>
    <col min="10" max="10" width="11.296875" bestFit="1" customWidth="1"/>
    <col min="11" max="11" width="12" customWidth="1"/>
    <col min="12" max="12" width="13.8984375" bestFit="1" customWidth="1"/>
  </cols>
  <sheetData>
    <row r="2" spans="3:16">
      <c r="C2" s="1"/>
      <c r="D2" s="1"/>
      <c r="E2" s="11" t="s">
        <v>607</v>
      </c>
      <c r="F2" s="11"/>
      <c r="G2" s="11"/>
      <c r="H2" s="11"/>
      <c r="J2" s="24"/>
      <c r="L2" s="11"/>
    </row>
    <row r="3" spans="3:16" ht="12" thickBot="1">
      <c r="C3" s="14" t="s">
        <v>364</v>
      </c>
      <c r="D3" s="1"/>
      <c r="E3" s="60" t="s">
        <v>426</v>
      </c>
      <c r="F3" s="61" t="s">
        <v>366</v>
      </c>
      <c r="G3" s="61" t="s">
        <v>367</v>
      </c>
      <c r="H3" s="142" t="s">
        <v>368</v>
      </c>
      <c r="J3" s="169" t="s">
        <v>608</v>
      </c>
      <c r="L3" s="13" t="s">
        <v>427</v>
      </c>
    </row>
    <row r="4" spans="3:16">
      <c r="C4" s="5" t="s">
        <v>420</v>
      </c>
      <c r="D4" s="1"/>
      <c r="E4" s="7" t="s">
        <v>609</v>
      </c>
      <c r="F4" s="167">
        <f>-SUMIF('BG COMP BABF'!$A:$A,'Cdr BABF'!$C4,'BG COMP BABF'!H:H)</f>
        <v>366135552</v>
      </c>
      <c r="G4" s="167">
        <f>-SUMIF('BG COMP BABF'!$A:$A,'Cdr BABF'!$C4,'BG COMP BABF'!I:I)</f>
        <v>240296378</v>
      </c>
      <c r="H4" s="167">
        <f>-SUMIF('BG COMP BABF'!$A:$A,'Cdr BABF'!$C4,'BG COMP BABF'!J:J)</f>
        <v>287733762</v>
      </c>
      <c r="J4" s="170">
        <f>IFERROR((H4/F4)^(1/2)-1,"n.a")</f>
        <v>-0.11350873352213864</v>
      </c>
      <c r="L4" s="63"/>
      <c r="M4" s="78">
        <f>F4/F6</f>
        <v>0.75386582423357629</v>
      </c>
      <c r="N4" s="78">
        <f>G4/G6</f>
        <v>0.62257692317447932</v>
      </c>
      <c r="O4" s="78">
        <f>H4/H6</f>
        <v>0.49662378771952298</v>
      </c>
      <c r="P4" s="156">
        <f>AVERAGE(M4:O4)</f>
        <v>0.6243555117091929</v>
      </c>
    </row>
    <row r="5" spans="3:16" ht="12" thickBot="1">
      <c r="C5" s="5" t="s">
        <v>421</v>
      </c>
      <c r="D5" s="1"/>
      <c r="E5" s="7" t="s">
        <v>421</v>
      </c>
      <c r="F5" s="167">
        <f>-SUMIF('BG COMP BABF'!$A:$A,'Cdr BABF'!$C5,'BG COMP BABF'!H:H)</f>
        <v>119541793</v>
      </c>
      <c r="G5" s="167">
        <f>-SUMIF('BG COMP BABF'!$A:$A,'Cdr BABF'!$C5,'BG COMP BABF'!I:I)</f>
        <v>145674205</v>
      </c>
      <c r="H5" s="167">
        <f>-SUMIF('BG COMP BABF'!$A:$A,'Cdr BABF'!$C5,'BG COMP BABF'!J:J)</f>
        <v>291645980</v>
      </c>
      <c r="J5" s="170">
        <f>IFERROR((H5/F5)^(1/2)-1,"n.a")</f>
        <v>0.56195355007352821</v>
      </c>
      <c r="L5" s="63"/>
      <c r="M5" s="78">
        <f>F5/F6</f>
        <v>0.24613417576642369</v>
      </c>
      <c r="N5" s="78">
        <f>G5/G6</f>
        <v>0.37742307682552068</v>
      </c>
      <c r="O5" s="78">
        <f>H5/H6</f>
        <v>0.50337621228047702</v>
      </c>
      <c r="P5" s="156">
        <f>AVERAGE(M5:O5)</f>
        <v>0.37564448829080715</v>
      </c>
    </row>
    <row r="6" spans="3:16">
      <c r="C6" s="5"/>
      <c r="D6" s="1"/>
      <c r="E6" s="9" t="s">
        <v>428</v>
      </c>
      <c r="F6" s="144">
        <f>SUM(F4:F5)</f>
        <v>485677345</v>
      </c>
      <c r="G6" s="144">
        <f>SUM(G4:G5)</f>
        <v>385970583</v>
      </c>
      <c r="H6" s="144">
        <f>SUM(H4:H5)</f>
        <v>579379742</v>
      </c>
      <c r="J6" s="171">
        <f>IFERROR((H6/F6)^(1/2)-1,"n.a")</f>
        <v>9.221397765637751E-2</v>
      </c>
      <c r="L6" s="2"/>
    </row>
    <row r="7" spans="3:16">
      <c r="C7" s="5" t="s">
        <v>422</v>
      </c>
      <c r="D7" s="1"/>
      <c r="E7" s="7" t="s">
        <v>422</v>
      </c>
      <c r="F7" s="167">
        <f>-SUMIF('BG COMP BABF'!$A:$A,'Cdr BABF'!$C7,'BG COMP BABF'!H:H)</f>
        <v>0</v>
      </c>
      <c r="G7" s="167">
        <f>-SUMIF('BG COMP BABF'!A:A,'Cdr BABF'!$C7,'BG COMP BABF'!I:I)</f>
        <v>0</v>
      </c>
      <c r="H7" s="167">
        <f>-SUMIF('BG COMP BABF'!$A:$A,'Cdr BABF'!$C7,'BG COMP BABF'!J:J)</f>
        <v>0</v>
      </c>
      <c r="J7" s="170" t="str">
        <f>IFERROR((H7/F7)^(1/2)-1,"n.a")</f>
        <v>n.a</v>
      </c>
      <c r="L7" s="63"/>
    </row>
    <row r="8" spans="3:16">
      <c r="C8" s="5" t="s">
        <v>393</v>
      </c>
      <c r="D8" s="1"/>
      <c r="E8" s="7" t="s">
        <v>429</v>
      </c>
      <c r="F8" s="167">
        <f>-SUMIF('BG COMP BABF'!$A:$A,'Cdr BABF'!$C8,'BG COMP BABF'!H:H)</f>
        <v>-318718059</v>
      </c>
      <c r="G8" s="167">
        <f>-SUMIF('BG COMP BABF'!A:A,'Cdr BABF'!$C8,'BG COMP BABF'!I:I)</f>
        <v>-169556674</v>
      </c>
      <c r="H8" s="167">
        <f>-SUMIF('BG COMP BABF'!$A:$A,'Cdr BABF'!$C8,'BG COMP BABF'!J:J)</f>
        <v>-237008805</v>
      </c>
      <c r="J8" s="170">
        <f t="shared" ref="J8:J35" si="0">IFERROR((H8/F8)^(1/2)-1,"n.a")</f>
        <v>-0.13765925967467219</v>
      </c>
      <c r="L8" s="2"/>
    </row>
    <row r="9" spans="3:16">
      <c r="C9" s="5" t="s">
        <v>414</v>
      </c>
      <c r="D9" s="1"/>
      <c r="E9" s="7" t="s">
        <v>414</v>
      </c>
      <c r="F9" s="167">
        <f>-SUMIF('BG COMP BABF'!$A:$A,'Cdr BABF'!$C9,'BG COMP BABF'!H:H)</f>
        <v>-50023326</v>
      </c>
      <c r="G9" s="167">
        <f>-SUMIF('BG COMP BABF'!A:A,'Cdr BABF'!$C9,'BG COMP BABF'!I:I)</f>
        <v>-51573436</v>
      </c>
      <c r="H9" s="167">
        <f>-SUMIF('BG COMP BABF'!$A:$A,'Cdr BABF'!$C9,'BG COMP BABF'!J:J)</f>
        <v>-57624113</v>
      </c>
      <c r="J9" s="170">
        <f t="shared" si="0"/>
        <v>7.3286939586237443E-2</v>
      </c>
      <c r="L9" s="2"/>
    </row>
    <row r="10" spans="3:16">
      <c r="C10" s="65" t="s">
        <v>401</v>
      </c>
      <c r="D10" s="66"/>
      <c r="E10" s="7" t="s">
        <v>401</v>
      </c>
      <c r="F10" s="167">
        <f>-SUMIF('BG COMP BABF'!$A:$A,'Cdr BABF'!$C10,'BG COMP BABF'!H:H)</f>
        <v>-10370800</v>
      </c>
      <c r="G10" s="167">
        <f>-SUMIF('BG COMP BABF'!A:A,'Cdr BABF'!$C10,'BG COMP BABF'!I:I)</f>
        <v>-6357900</v>
      </c>
      <c r="H10" s="167">
        <f>-SUMIF('BG COMP BABF'!$A:$A,'Cdr BABF'!$C10,'BG COMP BABF'!J:J)</f>
        <v>-6927968</v>
      </c>
      <c r="J10" s="170">
        <f t="shared" si="0"/>
        <v>-0.18267119115732622</v>
      </c>
      <c r="L10" s="67"/>
    </row>
    <row r="11" spans="3:16" ht="12" outlineLevel="1">
      <c r="C11" s="5" t="s">
        <v>402</v>
      </c>
      <c r="D11" s="1"/>
      <c r="E11" s="68" t="s">
        <v>402</v>
      </c>
      <c r="F11" s="168">
        <f>-SUMIF('BG COMP BABF'!$A:$A,'Cdr BABF'!$C11,'BG COMP BABF'!H:H)</f>
        <v>0</v>
      </c>
      <c r="G11" s="168">
        <f>-SUMIF('BG COMP BABF'!A:A,'Cdr BABF'!$C11,'BG COMP BABF'!I:I)</f>
        <v>0</v>
      </c>
      <c r="H11" s="168">
        <f>-SUMIF('BG COMP BABF'!$A:$A,'Cdr BABF'!$C11,'BG COMP BABF'!J:J)</f>
        <v>0</v>
      </c>
      <c r="J11" s="172" t="str">
        <f t="shared" si="0"/>
        <v>n.a</v>
      </c>
      <c r="L11" s="2"/>
    </row>
    <row r="12" spans="3:16" ht="12" outlineLevel="1">
      <c r="C12" s="5" t="s">
        <v>403</v>
      </c>
      <c r="D12" s="1"/>
      <c r="E12" s="68" t="s">
        <v>403</v>
      </c>
      <c r="F12" s="168">
        <f>-SUMIF('BG COMP BABF'!$A:$A,'Cdr BABF'!$C12,'BG COMP BABF'!H:H)</f>
        <v>-10510880</v>
      </c>
      <c r="G12" s="168">
        <f>-SUMIF('BG COMP BABF'!A:A,'Cdr BABF'!$C12,'BG COMP BABF'!I:I)</f>
        <v>-8108118</v>
      </c>
      <c r="H12" s="168">
        <f>-SUMIF('BG COMP BABF'!$A:$A,'Cdr BABF'!$C12,'BG COMP BABF'!J:J)</f>
        <v>-9537615</v>
      </c>
      <c r="J12" s="172">
        <f t="shared" si="0"/>
        <v>-4.7422421905905621E-2</v>
      </c>
      <c r="L12" s="2"/>
    </row>
    <row r="13" spans="3:16" ht="12" outlineLevel="1">
      <c r="C13" s="5" t="s">
        <v>404</v>
      </c>
      <c r="D13" s="1"/>
      <c r="E13" s="68" t="s">
        <v>404</v>
      </c>
      <c r="F13" s="168">
        <f>-SUMIF('BG COMP BABF'!$A:$A,'Cdr BABF'!$C13,'BG COMP BABF'!H:H)</f>
        <v>-1317617</v>
      </c>
      <c r="G13" s="168">
        <f>-SUMIF('BG COMP BABF'!A:A,'Cdr BABF'!$C13,'BG COMP BABF'!I:I)</f>
        <v>-2594717</v>
      </c>
      <c r="H13" s="168">
        <f>-SUMIF('BG COMP BABF'!$A:$A,'Cdr BABF'!$C13,'BG COMP BABF'!J:J)</f>
        <v>-2215600</v>
      </c>
      <c r="J13" s="172">
        <f t="shared" si="0"/>
        <v>0.2967345536167405</v>
      </c>
      <c r="L13" s="2"/>
    </row>
    <row r="14" spans="3:16" ht="12" outlineLevel="1">
      <c r="C14" s="5" t="s">
        <v>405</v>
      </c>
      <c r="D14" s="1"/>
      <c r="E14" s="68" t="s">
        <v>405</v>
      </c>
      <c r="F14" s="168">
        <f>-SUMIF('BG COMP BABF'!$A:$A,'Cdr BABF'!$C14,'BG COMP BABF'!H:H)</f>
        <v>-4173750</v>
      </c>
      <c r="G14" s="168">
        <f>-SUMIF('BG COMP BABF'!A:A,'Cdr BABF'!$C14,'BG COMP BABF'!I:I)</f>
        <v>-1754988</v>
      </c>
      <c r="H14" s="168">
        <f>-SUMIF('BG COMP BABF'!$A:$A,'Cdr BABF'!$C14,'BG COMP BABF'!J:J)</f>
        <v>-1276192</v>
      </c>
      <c r="J14" s="172">
        <f t="shared" si="0"/>
        <v>-0.44703862944275985</v>
      </c>
      <c r="L14" s="2"/>
    </row>
    <row r="15" spans="3:16" ht="12" outlineLevel="1">
      <c r="C15" s="5" t="s">
        <v>406</v>
      </c>
      <c r="D15" s="1"/>
      <c r="E15" s="68" t="s">
        <v>406</v>
      </c>
      <c r="F15" s="168">
        <f>-SUMIF('BG COMP BABF'!$A:$A,'Cdr BABF'!$C15,'BG COMP BABF'!H:H)</f>
        <v>0</v>
      </c>
      <c r="G15" s="168">
        <f>-SUMIF('BG COMP BABF'!A:A,'Cdr BABF'!$C15,'BG COMP BABF'!I:I)</f>
        <v>0</v>
      </c>
      <c r="H15" s="168">
        <f>-SUMIF('BG COMP BABF'!$A:$A,'Cdr BABF'!$C15,'BG COMP BABF'!J:J)</f>
        <v>-48000</v>
      </c>
      <c r="J15" s="172" t="str">
        <f t="shared" si="0"/>
        <v>n.a</v>
      </c>
      <c r="L15" s="2"/>
    </row>
    <row r="16" spans="3:16" ht="12" outlineLevel="1">
      <c r="C16" s="5" t="s">
        <v>407</v>
      </c>
      <c r="D16" s="1"/>
      <c r="E16" s="68" t="s">
        <v>407</v>
      </c>
      <c r="F16" s="168">
        <f>-SUMIF('BG COMP BABF'!$A:$A,'Cdr BABF'!$C16,'BG COMP BABF'!H:H)</f>
        <v>0</v>
      </c>
      <c r="G16" s="168">
        <f>-SUMIF('BG COMP BABF'!A:A,'Cdr BABF'!$C16,'BG COMP BABF'!I:I)</f>
        <v>-19000</v>
      </c>
      <c r="H16" s="168">
        <f>-SUMIF('BG COMP BABF'!$A:$A,'Cdr BABF'!$C16,'BG COMP BABF'!J:J)</f>
        <v>-52016171</v>
      </c>
      <c r="J16" s="172" t="str">
        <f t="shared" si="0"/>
        <v>n.a</v>
      </c>
      <c r="L16" s="2"/>
    </row>
    <row r="17" spans="3:13" ht="12" outlineLevel="1">
      <c r="C17" s="5" t="s">
        <v>408</v>
      </c>
      <c r="D17" s="1"/>
      <c r="E17" s="68" t="s">
        <v>408</v>
      </c>
      <c r="F17" s="168">
        <f>-SUMIF('BG COMP BABF'!$A:$A,'Cdr BABF'!$C17,'BG COMP BABF'!H:H)</f>
        <v>-2708865</v>
      </c>
      <c r="G17" s="168">
        <f>-SUMIF('BG COMP BABF'!A:A,'Cdr BABF'!$C17,'BG COMP BABF'!I:I)</f>
        <v>-2186056</v>
      </c>
      <c r="H17" s="168">
        <f>-SUMIF('BG COMP BABF'!$A:$A,'Cdr BABF'!$C17,'BG COMP BABF'!J:J)</f>
        <v>-3414757</v>
      </c>
      <c r="J17" s="172">
        <f t="shared" si="0"/>
        <v>0.12275816235684012</v>
      </c>
      <c r="L17" s="2"/>
    </row>
    <row r="18" spans="3:13" ht="12" outlineLevel="1">
      <c r="C18" s="5" t="s">
        <v>409</v>
      </c>
      <c r="D18" s="1"/>
      <c r="E18" s="68" t="s">
        <v>409</v>
      </c>
      <c r="F18" s="168">
        <f>-SUMIF('BG COMP BABF'!$A:$A,'Cdr BABF'!$C18,'BG COMP BABF'!H:H)</f>
        <v>-9023514</v>
      </c>
      <c r="G18" s="168">
        <f>-SUMIF('BG COMP BABF'!A:A,'Cdr BABF'!$C18,'BG COMP BABF'!I:I)</f>
        <v>-13831789</v>
      </c>
      <c r="H18" s="168">
        <f>-SUMIF('BG COMP BABF'!$A:$A,'Cdr BABF'!$C18,'BG COMP BABF'!J:J)</f>
        <v>-14474043</v>
      </c>
      <c r="J18" s="172">
        <f t="shared" si="0"/>
        <v>0.26650550260122197</v>
      </c>
      <c r="L18" s="2"/>
    </row>
    <row r="19" spans="3:13" ht="12" outlineLevel="1">
      <c r="C19" s="5" t="s">
        <v>410</v>
      </c>
      <c r="D19" s="1"/>
      <c r="E19" s="68" t="s">
        <v>410</v>
      </c>
      <c r="F19" s="168">
        <f>-SUMIF('BG COMP BABF'!$A:$A,'Cdr BABF'!$C19,'BG COMP BABF'!H:H)</f>
        <v>-3612435</v>
      </c>
      <c r="G19" s="168">
        <f>-SUMIF('BG COMP BABF'!A:A,'Cdr BABF'!$C19,'BG COMP BABF'!I:I)</f>
        <v>-1200000</v>
      </c>
      <c r="H19" s="168">
        <f>-SUMIF('BG COMP BABF'!$A:$A,'Cdr BABF'!$C19,'BG COMP BABF'!J:J)</f>
        <v>-21985313</v>
      </c>
      <c r="J19" s="172">
        <f>IFERROR((H19/F19)^(1/2)-1,"n.a")</f>
        <v>1.4669838464078366</v>
      </c>
      <c r="L19" s="2"/>
    </row>
    <row r="20" spans="3:13" ht="12" outlineLevel="1">
      <c r="C20" s="5" t="s">
        <v>411</v>
      </c>
      <c r="D20" s="1"/>
      <c r="E20" s="68" t="s">
        <v>411</v>
      </c>
      <c r="F20" s="168">
        <f>-SUMIF('BG COMP BABF'!$A:$A,'Cdr BABF'!$C20,'BG COMP BABF'!H:H)</f>
        <v>-11466534</v>
      </c>
      <c r="G20" s="168">
        <f>-SUMIF('BG COMP BABF'!A:A,'Cdr BABF'!$C20,'BG COMP BABF'!I:I)</f>
        <v>-26870462</v>
      </c>
      <c r="H20" s="168">
        <f>-SUMIF('BG COMP BABF'!$A:$A,'Cdr BABF'!$C20,'BG COMP BABF'!J:J)</f>
        <v>-20546499</v>
      </c>
      <c r="J20" s="172">
        <f t="shared" si="0"/>
        <v>0.33860620591076374</v>
      </c>
      <c r="L20" s="2"/>
    </row>
    <row r="21" spans="3:13" ht="12" outlineLevel="1">
      <c r="C21" s="5" t="s">
        <v>399</v>
      </c>
      <c r="D21" s="1"/>
      <c r="E21" s="68" t="s">
        <v>399</v>
      </c>
      <c r="F21" s="168">
        <f>-SUMIF('BG COMP BABF'!$A:$A,'Cdr BABF'!$C21,'BG COMP BABF'!H:H)</f>
        <v>-16756563</v>
      </c>
      <c r="G21" s="168">
        <f>-SUMIF('BG COMP BABF'!A:A,'Cdr BABF'!$C21,'BG COMP BABF'!I:I)</f>
        <v>-32055288</v>
      </c>
      <c r="H21" s="168">
        <f>-SUMIF('BG COMP BABF'!$A:$A,'Cdr BABF'!$C21,'BG COMP BABF'!J:J)</f>
        <v>-68329928</v>
      </c>
      <c r="J21" s="172">
        <f t="shared" si="0"/>
        <v>1.0193565606299781</v>
      </c>
      <c r="L21" s="2"/>
    </row>
    <row r="22" spans="3:13" ht="12" outlineLevel="1">
      <c r="C22" s="5" t="s">
        <v>400</v>
      </c>
      <c r="D22" s="1"/>
      <c r="E22" s="68" t="s">
        <v>400</v>
      </c>
      <c r="F22" s="168">
        <f>-SUMIF('BG COMP BABF'!$A:$A,'Cdr BABF'!$C22,'BG COMP BABF'!H:H)</f>
        <v>-16452263</v>
      </c>
      <c r="G22" s="168">
        <f>-SUMIF('BG COMP BABF'!A:A,'Cdr BABF'!$C22,'BG COMP BABF'!I:I)</f>
        <v>-38047837</v>
      </c>
      <c r="H22" s="168">
        <f>-SUMIF('BG COMP BABF'!$A:$A,'Cdr BABF'!$C22,'BG COMP BABF'!J:J)</f>
        <v>-29006</v>
      </c>
      <c r="J22" s="172">
        <f t="shared" si="0"/>
        <v>-0.95801142850511989</v>
      </c>
      <c r="L22" s="2"/>
    </row>
    <row r="23" spans="3:13">
      <c r="C23" s="69"/>
      <c r="D23" s="59"/>
      <c r="E23" s="7" t="s">
        <v>430</v>
      </c>
      <c r="F23" s="167">
        <f>SUM(F11:F22)</f>
        <v>-76022421</v>
      </c>
      <c r="G23" s="167">
        <f>SUM(G11:G22)</f>
        <v>-126668255</v>
      </c>
      <c r="H23" s="167">
        <f>SUM(H11:H22)</f>
        <v>-193873124</v>
      </c>
      <c r="J23" s="170">
        <f t="shared" si="0"/>
        <v>0.59693763574056757</v>
      </c>
      <c r="L23" s="2"/>
      <c r="M23">
        <f>F4*(1+J4)</f>
        <v>324575969.19505084</v>
      </c>
    </row>
    <row r="24" spans="3:13" ht="12" outlineLevel="1">
      <c r="C24" s="5" t="s">
        <v>395</v>
      </c>
      <c r="D24" s="1"/>
      <c r="E24" s="68" t="s">
        <v>431</v>
      </c>
      <c r="F24" s="168">
        <f>-SUMIF('BG COMP BABF'!$A:$A,'Cdr BABF'!$C24,'BG COMP BABF'!H:H)</f>
        <v>-2489435</v>
      </c>
      <c r="G24" s="168">
        <f>-SUMIF('BG COMP BABF'!A:A,'Cdr BABF'!$C24,'BG COMP BABF'!I:I)</f>
        <v>-1843333</v>
      </c>
      <c r="H24" s="168">
        <f>-SUMIF('BG COMP BABF'!$A:$A,'Cdr BABF'!$C24,'BG COMP BABF'!J:J)</f>
        <v>-1362875</v>
      </c>
      <c r="J24" s="172">
        <f t="shared" si="0"/>
        <v>-0.26009218067809148</v>
      </c>
      <c r="L24" s="2"/>
    </row>
    <row r="25" spans="3:13" ht="12" outlineLevel="1">
      <c r="C25" s="5" t="s">
        <v>394</v>
      </c>
      <c r="D25" s="1"/>
      <c r="E25" s="68" t="s">
        <v>432</v>
      </c>
      <c r="F25" s="168">
        <f>-SUMIF('BG COMP BABF'!$A:$A,'Cdr BABF'!$C25,'BG COMP BABF'!H:H)</f>
        <v>-4098500</v>
      </c>
      <c r="G25" s="168">
        <f>-SUMIF('BG COMP BABF'!A:A,'Cdr BABF'!$C25,'BG COMP BABF'!I:I)</f>
        <v>-4121900</v>
      </c>
      <c r="H25" s="168">
        <f>-SUMIF('BG COMP BABF'!$A:$A,'Cdr BABF'!$C25,'BG COMP BABF'!J:J)</f>
        <v>-4680000</v>
      </c>
      <c r="J25" s="172">
        <f t="shared" si="0"/>
        <v>6.8588403474422188E-2</v>
      </c>
      <c r="L25" s="2"/>
    </row>
    <row r="26" spans="3:13" ht="12" outlineLevel="1">
      <c r="C26" s="5" t="s">
        <v>396</v>
      </c>
      <c r="D26" s="1"/>
      <c r="E26" s="68" t="s">
        <v>396</v>
      </c>
      <c r="F26" s="168">
        <f>-SUMIF('BG COMP BABF'!$A:$A,'Cdr BABF'!$C26,'BG COMP BABF'!H:H)</f>
        <v>-411100</v>
      </c>
      <c r="G26" s="168">
        <f>-SUMIF('BG COMP BABF'!A:A,'Cdr BABF'!$C26,'BG COMP BABF'!I:I)</f>
        <v>-360813</v>
      </c>
      <c r="H26" s="168">
        <f>-SUMIF('BG COMP BABF'!$A:$A,'Cdr BABF'!$C26,'BG COMP BABF'!J:J)</f>
        <v>-302625</v>
      </c>
      <c r="J26" s="172">
        <f t="shared" si="0"/>
        <v>-0.14201703956376288</v>
      </c>
      <c r="L26" s="2"/>
    </row>
    <row r="27" spans="3:13" ht="12" outlineLevel="1">
      <c r="C27" s="5" t="s">
        <v>397</v>
      </c>
      <c r="D27" s="1"/>
      <c r="E27" s="68" t="s">
        <v>397</v>
      </c>
      <c r="F27" s="168">
        <f>-SUMIF('BG COMP BABF'!$A:$A,'Cdr BABF'!$C27,'BG COMP BABF'!H:H)</f>
        <v>-380225</v>
      </c>
      <c r="G27" s="168">
        <f>-SUMIF('BG COMP BABF'!A:A,'Cdr BABF'!$C27,'BG COMP BABF'!I:I)</f>
        <v>-433784</v>
      </c>
      <c r="H27" s="168">
        <f>-SUMIF('BG COMP BABF'!$A:$A,'Cdr BABF'!$C27,'BG COMP BABF'!J:J)</f>
        <v>-3625549</v>
      </c>
      <c r="J27" s="172">
        <f t="shared" si="0"/>
        <v>2.0879236609732472</v>
      </c>
      <c r="L27" s="2"/>
    </row>
    <row r="28" spans="3:13" ht="12" outlineLevel="1">
      <c r="C28" s="5" t="s">
        <v>398</v>
      </c>
      <c r="D28" s="1"/>
      <c r="E28" s="68" t="s">
        <v>398</v>
      </c>
      <c r="F28" s="168">
        <f>-SUMIF('BG COMP BABF'!$A:$A,'Cdr BABF'!$C28,'BG COMP BABF'!H:H)</f>
        <v>-1052378</v>
      </c>
      <c r="G28" s="168">
        <f>-SUMIF('BG COMP BABF'!A:A,'Cdr BABF'!$C28,'BG COMP BABF'!I:I)</f>
        <v>-1958236</v>
      </c>
      <c r="H28" s="168">
        <f>-SUMIF('BG COMP BABF'!$A:$A,'Cdr BABF'!$C28,'BG COMP BABF'!J:J)</f>
        <v>-5319478</v>
      </c>
      <c r="J28" s="172">
        <f t="shared" si="0"/>
        <v>1.2482708427761544</v>
      </c>
      <c r="L28" s="2"/>
    </row>
    <row r="29" spans="3:13">
      <c r="C29" s="5"/>
      <c r="D29" s="1"/>
      <c r="E29" s="7" t="s">
        <v>433</v>
      </c>
      <c r="F29" s="167">
        <f>SUM(F24:F28)</f>
        <v>-8431638</v>
      </c>
      <c r="G29" s="167">
        <f>SUM(G24:G28)</f>
        <v>-8718066</v>
      </c>
      <c r="H29" s="167">
        <f>SUM(H24:H28)</f>
        <v>-15290527</v>
      </c>
      <c r="J29" s="170">
        <f t="shared" si="0"/>
        <v>0.34665159790135491</v>
      </c>
      <c r="L29" s="2"/>
    </row>
    <row r="30" spans="3:13">
      <c r="C30" s="69" t="s">
        <v>412</v>
      </c>
      <c r="D30" s="59"/>
      <c r="E30" s="7" t="s">
        <v>412</v>
      </c>
      <c r="F30" s="167">
        <f>-SUMIF('BG COMP BABF'!$A:$A,'Cdr BABF'!$C30,'BG COMP BABF'!H:H)</f>
        <v>-3876717</v>
      </c>
      <c r="G30" s="167">
        <f>-SUMIF('BG COMP BABF'!A:A,'Cdr BABF'!$C30,'BG COMP BABF'!I:I)</f>
        <v>-5256287</v>
      </c>
      <c r="H30" s="167">
        <f>-SUMIF('BG COMP BABF'!$A:$A,'Cdr BABF'!$C30,'BG COMP BABF'!J:J)</f>
        <v>-8721750</v>
      </c>
      <c r="J30" s="170">
        <f t="shared" si="0"/>
        <v>0.49992577298786989</v>
      </c>
      <c r="L30" s="2"/>
    </row>
    <row r="31" spans="3:13" ht="12" outlineLevel="1">
      <c r="C31" s="5" t="s">
        <v>423</v>
      </c>
      <c r="D31" s="1"/>
      <c r="E31" s="68" t="s">
        <v>423</v>
      </c>
      <c r="F31" s="168">
        <f>-SUMIF('BG COMP BABF'!$A:$A,'Cdr BABF'!$C31,'BG COMP BABF'!H:H)</f>
        <v>1687290</v>
      </c>
      <c r="G31" s="168">
        <f>-SUMIF('BG COMP BABF'!$A:$A,'Cdr BABF'!$C31,'BG COMP BABF'!I:I)</f>
        <v>0</v>
      </c>
      <c r="H31" s="168">
        <f>-SUMIF('BG COMP BABF'!$A:$A,'Cdr BABF'!$C31,'BG COMP BABF'!J:J)</f>
        <v>13306430</v>
      </c>
      <c r="J31" s="172">
        <f t="shared" si="0"/>
        <v>1.8082509244627296</v>
      </c>
      <c r="L31" s="2"/>
    </row>
    <row r="32" spans="3:13" ht="12" outlineLevel="1">
      <c r="C32" s="5" t="s">
        <v>413</v>
      </c>
      <c r="D32" s="1"/>
      <c r="E32" s="68" t="s">
        <v>434</v>
      </c>
      <c r="F32" s="168">
        <f>-SUMIF('BG COMP BABF'!$A:$A,'Cdr BABF'!$C32,'BG COMP BABF'!H:H)</f>
        <v>-1575953</v>
      </c>
      <c r="G32" s="168">
        <f>-SUMIF('BG COMP BABF'!A:A,'Cdr BABF'!$C32,'BG COMP BABF'!I:I)</f>
        <v>-99523</v>
      </c>
      <c r="H32" s="168">
        <f>-SUMIF('BG COMP BABF'!$A:$A,'Cdr BABF'!$C32,'BG COMP BABF'!J:J)</f>
        <v>-3465116</v>
      </c>
      <c r="J32" s="172">
        <f t="shared" si="0"/>
        <v>0.48281598205308573</v>
      </c>
      <c r="L32" s="2"/>
    </row>
    <row r="33" spans="3:13" ht="12" thickBot="1">
      <c r="C33" s="5"/>
      <c r="D33" s="1"/>
      <c r="E33" s="7" t="s">
        <v>435</v>
      </c>
      <c r="F33" s="167">
        <f>-SUMIF('BG COMP BABF'!$A:$A,'Cdr BABF'!$C33,'BG COMP BABF'!H:H)</f>
        <v>0</v>
      </c>
      <c r="G33" s="167">
        <f>G31+G32</f>
        <v>-99523</v>
      </c>
      <c r="H33" s="167">
        <f>H31+H32</f>
        <v>9841314</v>
      </c>
      <c r="J33" s="170" t="str">
        <f t="shared" si="0"/>
        <v>n.a</v>
      </c>
      <c r="L33" s="2"/>
    </row>
    <row r="34" spans="3:13">
      <c r="C34" s="5"/>
      <c r="D34" s="1"/>
      <c r="E34" s="140" t="s">
        <v>436</v>
      </c>
      <c r="F34" s="145">
        <f>F33+F30+F29+F23+F10+F9</f>
        <v>-148724902</v>
      </c>
      <c r="G34" s="145">
        <f>G33+G30+G29+G23+G10+G9</f>
        <v>-198673467</v>
      </c>
      <c r="H34" s="145">
        <f>H33+H30+H29+H23+H10+H9</f>
        <v>-272596168</v>
      </c>
      <c r="J34" s="171">
        <f t="shared" si="0"/>
        <v>0.35384213877243798</v>
      </c>
      <c r="L34" s="137"/>
    </row>
    <row r="35" spans="3:13">
      <c r="C35" s="5"/>
      <c r="D35" s="1"/>
      <c r="E35" s="138" t="s">
        <v>437</v>
      </c>
      <c r="F35" s="178">
        <f>+SUM(F6,F8,F9,F10,F23,F29,F30,F33)</f>
        <v>18234384</v>
      </c>
      <c r="G35" s="178">
        <f>+SUM(G6,G8,G9,G10,G23,G29,G30,G33)</f>
        <v>17740442</v>
      </c>
      <c r="H35" s="178">
        <f>+SUM(H6,H8,H9,H10,H23,H29,H30,H33)</f>
        <v>69774769</v>
      </c>
      <c r="J35" s="173">
        <f t="shared" si="0"/>
        <v>0.95615676310470721</v>
      </c>
      <c r="L35" s="2"/>
      <c r="M35" s="78">
        <f>(H35-G35)/G35</f>
        <v>2.9330907877041619</v>
      </c>
    </row>
    <row r="36" spans="3:13">
      <c r="C36" s="5"/>
      <c r="D36" s="1"/>
      <c r="E36" s="10" t="s">
        <v>438</v>
      </c>
      <c r="F36" s="179">
        <f>IFERROR(F35/F$6,"n.a")</f>
        <v>3.7544234228178791E-2</v>
      </c>
      <c r="G36" s="179">
        <f>IFERROR(G35/G$6,"n.a")</f>
        <v>4.5963197148628294E-2</v>
      </c>
      <c r="H36" s="179">
        <f>IFERROR(H35/H$6,"n.a")</f>
        <v>0.12043011507295676</v>
      </c>
      <c r="J36" s="174">
        <f>AVERAGE(F36:H36)</f>
        <v>6.7979182149921283E-2</v>
      </c>
      <c r="L36" s="2"/>
      <c r="M36" s="155">
        <f>AVERAGE(F36:H36)</f>
        <v>6.7979182149921283E-2</v>
      </c>
    </row>
    <row r="37" spans="3:13" ht="12" outlineLevel="1">
      <c r="C37" s="5" t="s">
        <v>439</v>
      </c>
      <c r="D37" s="1"/>
      <c r="E37" s="68" t="s">
        <v>439</v>
      </c>
      <c r="F37" s="143">
        <f>-SUMIF('BG COMP BABF'!$A:$A,'Cdr BABF'!$C37,'BG COMP BABF'!H:H)</f>
        <v>0</v>
      </c>
      <c r="G37" s="143">
        <f>-SUMIF('BG COMP BABF'!A:A,'Cdr BABF'!$C37,'BG COMP BABF'!I:I)</f>
        <v>0</v>
      </c>
      <c r="H37" s="143">
        <f>-SUMIF('BG COMP BABF'!$A:$A,'Cdr BABF'!$C37,'BG COMP BABF'!J:J)</f>
        <v>256022</v>
      </c>
      <c r="J37" s="172" t="str">
        <f>IFERROR((H37/F37)^(1/2)-1,"n.a")</f>
        <v>n.a</v>
      </c>
      <c r="L37" s="2"/>
    </row>
    <row r="38" spans="3:13" ht="12" outlineLevel="1">
      <c r="C38" s="5" t="s">
        <v>419</v>
      </c>
      <c r="D38" s="59"/>
      <c r="E38" s="68" t="s">
        <v>376</v>
      </c>
      <c r="F38" s="143">
        <f>-SUMIF('BG COMP BABF'!$A:$A,'Cdr BABF'!$C38,'BG COMP BABF'!H:H)</f>
        <v>0</v>
      </c>
      <c r="G38" s="143">
        <f>-SUMIF('BG COMP BABF'!A:A,'Cdr BABF'!$C38,'BG COMP BABF'!I:I)</f>
        <v>0</v>
      </c>
      <c r="H38" s="143">
        <f>-SUMIF('BG COMP BABF'!$A:$A,'Cdr BABF'!$C38,'BG COMP BABF'!J:J)</f>
        <v>0</v>
      </c>
      <c r="J38" s="172" t="str">
        <f>IFERROR((H38/F38)^(1/2)-1,"n.a")</f>
        <v>n.a</v>
      </c>
      <c r="L38" s="2"/>
    </row>
    <row r="39" spans="3:13" ht="12" outlineLevel="1">
      <c r="C39" s="5" t="s">
        <v>418</v>
      </c>
      <c r="D39" s="1"/>
      <c r="E39" s="68" t="s">
        <v>440</v>
      </c>
      <c r="F39" s="143">
        <f>-SUMIF('BG COMP BABF'!$A:$A,'Cdr BABF'!$C39,'BG COMP BABF'!H:H)</f>
        <v>-3531374</v>
      </c>
      <c r="G39" s="143">
        <f>-SUMIF('BG COMP BABF'!A:A,'Cdr BABF'!$C39,'BG COMP BABF'!I:I)</f>
        <v>-3834084</v>
      </c>
      <c r="H39" s="143">
        <f>-SUMIF('BG COMP BABF'!$A:$A,'Cdr BABF'!$C39,'BG COMP BABF'!J:J)</f>
        <v>-4925482</v>
      </c>
      <c r="J39" s="172">
        <f>IFERROR((H39/F39)^(1/2)-1,"n.a")</f>
        <v>0.1810071055579503</v>
      </c>
      <c r="L39" s="2"/>
    </row>
    <row r="40" spans="3:13" ht="12" thickBot="1">
      <c r="C40" s="5"/>
      <c r="D40" s="1"/>
      <c r="E40" s="7" t="s">
        <v>441</v>
      </c>
      <c r="F40" s="143">
        <f>SUM(F37:F39)</f>
        <v>-3531374</v>
      </c>
      <c r="G40" s="143">
        <f>SUM(G37:G39)</f>
        <v>-3834084</v>
      </c>
      <c r="H40" s="143">
        <f>SUM(H37:H39)</f>
        <v>-4669460</v>
      </c>
      <c r="J40" s="170">
        <f>IFERROR((H40/F40)^(1/2)-1,"n.a")</f>
        <v>0.14990370200436276</v>
      </c>
      <c r="L40" s="2"/>
    </row>
    <row r="41" spans="3:13">
      <c r="C41" s="5"/>
      <c r="D41" s="1"/>
      <c r="E41" s="9" t="s">
        <v>442</v>
      </c>
      <c r="F41" s="144">
        <f>F35+F40</f>
        <v>14703010</v>
      </c>
      <c r="G41" s="144">
        <f>G35+G40</f>
        <v>13906358</v>
      </c>
      <c r="H41" s="144">
        <f>H35+H40</f>
        <v>65105309</v>
      </c>
      <c r="J41" s="175">
        <f>IFERROR((H41/F41)^(1/2)-1,"n.a")</f>
        <v>1.1042875026995764</v>
      </c>
      <c r="L41" s="2"/>
    </row>
    <row r="42" spans="3:13">
      <c r="C42" s="5"/>
      <c r="D42" s="1"/>
      <c r="E42" s="8" t="s">
        <v>443</v>
      </c>
      <c r="F42" s="154">
        <f>IFERROR(F41/F$6,"n.a")</f>
        <v>3.0273205352001748E-2</v>
      </c>
      <c r="G42" s="154">
        <f>IFERROR(G41/G$6,"n.a")</f>
        <v>3.6029580005582963E-2</v>
      </c>
      <c r="H42" s="154">
        <f>IFERROR(H41/H$6,"n.a")</f>
        <v>0.11237070315102594</v>
      </c>
      <c r="J42" s="176">
        <f>AVERAGE(F42:H42)</f>
        <v>5.9557829502870217E-2</v>
      </c>
      <c r="L42" s="2"/>
    </row>
    <row r="43" spans="3:13" ht="12" outlineLevel="1">
      <c r="C43" s="5" t="s">
        <v>424</v>
      </c>
      <c r="D43" s="1"/>
      <c r="E43" s="68" t="s">
        <v>444</v>
      </c>
      <c r="F43" s="143">
        <f>-SUMIF('BG COMP BABF'!$A:$A,'Cdr BABF'!$C43,'BG COMP BABF'!H:H)</f>
        <v>0</v>
      </c>
      <c r="G43" s="143">
        <f>-SUMIF('BG COMP BABF'!A:A,'Cdr BABF'!$C43,'BG COMP BABF'!I:I)</f>
        <v>4313136</v>
      </c>
      <c r="H43" s="143">
        <f>-SUMIF('BG COMP BABF'!$A:$A,'Cdr BABF'!$C43,'BG COMP BABF'!J:J)</f>
        <v>-883954</v>
      </c>
      <c r="J43" s="172" t="str">
        <f t="shared" ref="J43:J50" si="1">IFERROR((H43/F43)^(1/2)-1,"n.a")</f>
        <v>n.a</v>
      </c>
      <c r="L43" s="2"/>
    </row>
    <row r="44" spans="3:13" ht="12" outlineLevel="1">
      <c r="C44" s="5" t="s">
        <v>415</v>
      </c>
      <c r="D44" s="1"/>
      <c r="E44" s="70" t="s">
        <v>415</v>
      </c>
      <c r="F44" s="143">
        <f>-SUMIF('BG COMP BABF'!$A:$A,'Cdr BABF'!$C44,'BG COMP BABF'!H:H)</f>
        <v>-7904467</v>
      </c>
      <c r="G44" s="143">
        <f>-SUMIF('BG COMP BABF'!A:A,'Cdr BABF'!$C44,'BG COMP BABF'!I:I)</f>
        <v>-7637078</v>
      </c>
      <c r="H44" s="143">
        <f>-SUMIF('BG COMP BABF'!$A:$A,'Cdr BABF'!$C44,'BG COMP BABF'!J:J)</f>
        <v>0</v>
      </c>
      <c r="J44" s="177">
        <f t="shared" si="1"/>
        <v>-1</v>
      </c>
      <c r="L44" s="2"/>
    </row>
    <row r="45" spans="3:13" ht="12" outlineLevel="1">
      <c r="C45" s="5" t="s">
        <v>416</v>
      </c>
      <c r="D45" s="1"/>
      <c r="E45" s="70" t="s">
        <v>416</v>
      </c>
      <c r="F45" s="143">
        <f>-SUMIF('BG COMP BABF'!$A:$A,'Cdr BABF'!$C45,'BG COMP BABF'!H:H)</f>
        <v>0</v>
      </c>
      <c r="G45" s="143">
        <f>-SUMIF('BG COMP BABF'!A:A,'Cdr BABF'!$C45,'BG COMP BABF'!I:I)</f>
        <v>0</v>
      </c>
      <c r="H45" s="143">
        <f>-SUMIF('BG COMP BABF'!$A:$A,'Cdr BABF'!$C45,'BG COMP BABF'!J:J)</f>
        <v>0</v>
      </c>
      <c r="J45" s="177" t="str">
        <f t="shared" si="1"/>
        <v>n.a</v>
      </c>
      <c r="L45" s="2"/>
    </row>
    <row r="46" spans="3:13" ht="12" outlineLevel="1">
      <c r="C46" s="5" t="s">
        <v>417</v>
      </c>
      <c r="D46" s="1"/>
      <c r="E46" s="70" t="s">
        <v>417</v>
      </c>
      <c r="F46" s="143">
        <f>-SUMIF('BG COMP BABF'!$A:$A,'Cdr BABF'!$C46,'BG COMP BABF'!H:H)</f>
        <v>0</v>
      </c>
      <c r="G46" s="143">
        <f>-SUMIF('BG COMP BABF'!A:A,'Cdr BABF'!$C46,'BG COMP BABF'!I:I)</f>
        <v>0</v>
      </c>
      <c r="H46" s="143">
        <f>-SUMIF('BG COMP BABF'!$A:$A,'Cdr BABF'!$C46,'BG COMP BABF'!J:J)</f>
        <v>0</v>
      </c>
      <c r="J46" s="177" t="str">
        <f t="shared" si="1"/>
        <v>n.a</v>
      </c>
      <c r="L46" s="2"/>
    </row>
    <row r="47" spans="3:13" ht="12" outlineLevel="1">
      <c r="C47" s="5"/>
      <c r="D47" s="1"/>
      <c r="E47" s="68" t="s">
        <v>445</v>
      </c>
      <c r="F47" s="148">
        <f>SUBTOTAL(9,F44:F46)</f>
        <v>-7904467</v>
      </c>
      <c r="G47" s="148">
        <f>SUBTOTAL(9,G44:G46)</f>
        <v>-7637078</v>
      </c>
      <c r="H47" s="148">
        <f>SUBTOTAL(9,H44:H46)</f>
        <v>0</v>
      </c>
      <c r="J47" s="172">
        <f t="shared" si="1"/>
        <v>-1</v>
      </c>
      <c r="L47" s="2"/>
    </row>
    <row r="48" spans="3:13">
      <c r="C48" s="5"/>
      <c r="D48" s="1"/>
      <c r="E48" s="7" t="s">
        <v>446</v>
      </c>
      <c r="F48" s="143">
        <f>SUBTOTAL(9,F43:F47)</f>
        <v>-7904467</v>
      </c>
      <c r="G48" s="143">
        <f>SUBTOTAL(9,G43:G47)</f>
        <v>-3323942</v>
      </c>
      <c r="H48" s="143">
        <f>SUBTOTAL(9,H43:H47)</f>
        <v>-883954</v>
      </c>
      <c r="J48" s="170">
        <f>-IFERROR((H48/F48)^(1/2)-1,"n.a")</f>
        <v>0.66559055324423611</v>
      </c>
      <c r="L48" s="2"/>
    </row>
    <row r="49" spans="3:12">
      <c r="C49" s="5" t="s">
        <v>425</v>
      </c>
      <c r="D49" s="1"/>
      <c r="E49" s="7" t="s">
        <v>447</v>
      </c>
      <c r="F49" s="165">
        <f>-SUMIF('BG COMP BABF'!$A:$A,'Cdr BABF'!$C49,'BG COMP BABF'!H:H)</f>
        <v>0</v>
      </c>
      <c r="G49" s="165">
        <f>-SUMIF('BG COMP BABF'!A:A,'Cdr BABF'!$C49,'BG COMP BABF'!I:I)</f>
        <v>0</v>
      </c>
      <c r="H49" s="143">
        <f>-SUMIF('BG COMP BABF'!$A:$A,'Cdr BABF'!$C49,'BG COMP BABF'!J:J)</f>
        <v>-186723487</v>
      </c>
      <c r="J49" s="170" t="str">
        <f t="shared" si="1"/>
        <v>n.a</v>
      </c>
      <c r="L49" s="2"/>
    </row>
    <row r="50" spans="3:12">
      <c r="C50" s="5" t="s">
        <v>448</v>
      </c>
      <c r="D50" s="1"/>
      <c r="E50" s="7" t="s">
        <v>448</v>
      </c>
      <c r="F50" s="143">
        <f>-SUMIF('BG COMP BABF'!$A:$A,'Cdr BABF'!$C50,'BG COMP BABF'!H:H)</f>
        <v>-3378375</v>
      </c>
      <c r="G50" s="143">
        <f>-SUMIF('BG COMP BABF'!A:A,'Cdr BABF'!$C50,'BG COMP BABF'!I:I)</f>
        <v>-3134450</v>
      </c>
      <c r="H50" s="143">
        <f>-SUMIF('BG COMP BABF'!$A:$A,'Cdr BABF'!$C50,'BG COMP BABF'!J:J)</f>
        <v>0</v>
      </c>
      <c r="J50" s="170">
        <f t="shared" si="1"/>
        <v>-1</v>
      </c>
      <c r="L50" s="2"/>
    </row>
    <row r="51" spans="3:12">
      <c r="C51" s="5"/>
      <c r="D51" s="1"/>
      <c r="E51" s="4" t="s">
        <v>449</v>
      </c>
      <c r="F51" s="178">
        <f>F41+F48+F49+F50</f>
        <v>3420168</v>
      </c>
      <c r="G51" s="178">
        <f>G41+G48+G49+G50</f>
        <v>7447966</v>
      </c>
      <c r="H51" s="178">
        <f>H41+H48+H49+H50</f>
        <v>-122502132</v>
      </c>
      <c r="J51" s="173" t="str">
        <f>IFERROR(((H51/F51)^(1/2))-1,"n.a")</f>
        <v>n.a</v>
      </c>
      <c r="L51" s="2"/>
    </row>
    <row r="52" spans="3:12">
      <c r="C52" s="1"/>
      <c r="D52" s="1"/>
      <c r="E52" s="71" t="s">
        <v>450</v>
      </c>
      <c r="F52" s="71"/>
      <c r="G52" s="71"/>
      <c r="H52" s="150"/>
      <c r="J52" s="72"/>
      <c r="L52" s="2"/>
    </row>
    <row r="53" spans="3:12">
      <c r="H53" s="18"/>
    </row>
    <row r="56" spans="3:12">
      <c r="G56" s="143"/>
    </row>
    <row r="57" spans="3:12">
      <c r="G57" s="143"/>
    </row>
    <row r="58" spans="3:12" ht="12" thickBot="1">
      <c r="G58" s="143"/>
    </row>
    <row r="59" spans="3:12">
      <c r="G59" s="144"/>
    </row>
    <row r="60" spans="3:12">
      <c r="G60" s="143"/>
    </row>
    <row r="61" spans="3:12">
      <c r="G61" s="143"/>
    </row>
    <row r="62" spans="3:12">
      <c r="G62" s="143"/>
    </row>
    <row r="63" spans="3:12">
      <c r="G63" s="143"/>
    </row>
    <row r="64" spans="3:12">
      <c r="G64" s="143"/>
    </row>
    <row r="65" spans="7:7">
      <c r="G65" s="143"/>
    </row>
    <row r="66" spans="7:7">
      <c r="G66" s="143"/>
    </row>
    <row r="67" spans="7:7">
      <c r="G67" s="143"/>
    </row>
    <row r="68" spans="7:7">
      <c r="G68" s="143"/>
    </row>
    <row r="69" spans="7:7">
      <c r="G69" s="143"/>
    </row>
    <row r="70" spans="7:7">
      <c r="G70" s="143"/>
    </row>
    <row r="71" spans="7:7">
      <c r="G71" s="143"/>
    </row>
    <row r="72" spans="7:7">
      <c r="G72" s="143"/>
    </row>
    <row r="73" spans="7:7">
      <c r="G73" s="143"/>
    </row>
    <row r="74" spans="7:7">
      <c r="G74" s="143"/>
    </row>
    <row r="75" spans="7:7">
      <c r="G75" s="143"/>
    </row>
    <row r="76" spans="7:7">
      <c r="G76" s="143"/>
    </row>
    <row r="77" spans="7:7">
      <c r="G77" s="143"/>
    </row>
    <row r="78" spans="7:7">
      <c r="G78" s="143"/>
    </row>
    <row r="79" spans="7:7">
      <c r="G79" s="143"/>
    </row>
    <row r="80" spans="7:7">
      <c r="G80" s="143"/>
    </row>
    <row r="81" spans="7:7">
      <c r="G81" s="143"/>
    </row>
    <row r="82" spans="7:7">
      <c r="G82" s="143"/>
    </row>
    <row r="83" spans="7:7">
      <c r="G83" s="143"/>
    </row>
    <row r="84" spans="7:7">
      <c r="G84" s="143"/>
    </row>
    <row r="85" spans="7:7" ht="12" thickBot="1">
      <c r="G85" s="143"/>
    </row>
    <row r="86" spans="7:7">
      <c r="G86" s="145"/>
    </row>
    <row r="87" spans="7:7">
      <c r="G87" s="151"/>
    </row>
    <row r="88" spans="7:7">
      <c r="G88" s="146"/>
    </row>
    <row r="89" spans="7:7">
      <c r="G89" s="143"/>
    </row>
    <row r="90" spans="7:7">
      <c r="G90" s="143"/>
    </row>
    <row r="91" spans="7:7">
      <c r="G91" s="143"/>
    </row>
    <row r="92" spans="7:7" ht="12" thickBot="1">
      <c r="G92" s="143"/>
    </row>
    <row r="93" spans="7:7">
      <c r="G93" s="144"/>
    </row>
    <row r="94" spans="7:7">
      <c r="G94" s="147"/>
    </row>
    <row r="95" spans="7:7">
      <c r="G95" s="143"/>
    </row>
    <row r="96" spans="7:7">
      <c r="G96" s="143"/>
    </row>
    <row r="97" spans="7:7">
      <c r="G97" s="143"/>
    </row>
    <row r="98" spans="7:7">
      <c r="G98" s="143"/>
    </row>
    <row r="99" spans="7:7" ht="12">
      <c r="G99" s="148"/>
    </row>
    <row r="100" spans="7:7">
      <c r="G100" s="143"/>
    </row>
    <row r="101" spans="7:7">
      <c r="G101" s="143"/>
    </row>
    <row r="102" spans="7:7">
      <c r="G102" s="143"/>
    </row>
    <row r="103" spans="7:7">
      <c r="G103" s="149"/>
    </row>
  </sheetData>
  <pageMargins left="0.7" right="0.7" top="0.75" bottom="0.75" header="0.3" footer="0.3"/>
  <pageSetup paperSize="9" orientation="portrait" r:id="rId1"/>
  <customProperties>
    <customPr name="AreLinksHighlighte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B1:H66"/>
  <sheetViews>
    <sheetView showGridLines="0" tabSelected="1" workbookViewId="0">
      <selection activeCell="D57" sqref="D57"/>
    </sheetView>
  </sheetViews>
  <sheetFormatPr baseColWidth="10" defaultColWidth="11.3984375" defaultRowHeight="11.5"/>
  <cols>
    <col min="2" max="2" width="30.69921875" bestFit="1" customWidth="1"/>
    <col min="4" max="4" width="32.59765625" bestFit="1" customWidth="1"/>
    <col min="5" max="5" width="5.296875" bestFit="1" customWidth="1"/>
    <col min="6" max="8" width="5.69921875" bestFit="1" customWidth="1"/>
  </cols>
  <sheetData>
    <row r="1" spans="2:8">
      <c r="B1" s="112"/>
      <c r="C1" s="112"/>
      <c r="H1" s="113"/>
    </row>
    <row r="2" spans="2:8">
      <c r="B2" s="112"/>
      <c r="C2" s="112"/>
    </row>
    <row r="4" spans="2:8">
      <c r="D4" s="25"/>
      <c r="E4" s="25"/>
      <c r="F4" s="25"/>
      <c r="G4" s="25"/>
    </row>
    <row r="5" spans="2:8">
      <c r="D5" s="25"/>
      <c r="E5" s="25"/>
      <c r="F5" s="25"/>
      <c r="G5" s="25"/>
      <c r="H5" s="26"/>
    </row>
    <row r="6" spans="2:8">
      <c r="D6" s="27" t="s">
        <v>610</v>
      </c>
      <c r="E6" s="27"/>
      <c r="F6" s="27"/>
      <c r="G6" s="27"/>
      <c r="H6" s="28"/>
    </row>
    <row r="7" spans="2:8">
      <c r="B7" s="29" t="s">
        <v>364</v>
      </c>
      <c r="D7" s="30" t="s">
        <v>451</v>
      </c>
      <c r="E7" s="30" t="s">
        <v>365</v>
      </c>
      <c r="F7" s="30" t="s">
        <v>366</v>
      </c>
      <c r="G7" s="30" t="s">
        <v>367</v>
      </c>
      <c r="H7" s="31" t="s">
        <v>368</v>
      </c>
    </row>
    <row r="8" spans="2:8" ht="12">
      <c r="B8" s="45" t="s">
        <v>382</v>
      </c>
      <c r="D8" s="33" t="s">
        <v>382</v>
      </c>
      <c r="E8" s="33"/>
      <c r="F8" s="34">
        <f>(((-SUMIF('BG COMP BABF'!$A:$A,$B8,'BG COMP BABF'!H:H)))/1000000)*-1</f>
        <v>-1.9581139999999999</v>
      </c>
      <c r="G8" s="34">
        <f>(((-SUMIF('BG COMP BABF'!$A:$A,$B8,'BG COMP BABF'!I:I)))/1000000)*-1</f>
        <v>-2.7746140000000001</v>
      </c>
      <c r="H8" s="34">
        <f>(((-SUMIF('BG COMP BABF'!$A:$A,$B8,'BG COMP BABF'!J:J)))/1000000)*-1</f>
        <v>-3.5911140000000001</v>
      </c>
    </row>
    <row r="9" spans="2:8" ht="12">
      <c r="B9" s="45" t="s">
        <v>452</v>
      </c>
      <c r="D9" s="33" t="s">
        <v>452</v>
      </c>
      <c r="E9" s="33"/>
      <c r="F9" s="34">
        <f>(((-SUMIF('BG COMP BABF'!$A:$A,$B9,'BG COMP BABF'!H:H)))/1000000)*-1</f>
        <v>0</v>
      </c>
      <c r="G9" s="34">
        <f>(((-SUMIF('BG COMP BABF'!$A:$A,$B9,'BG COMP BABF'!I:I)))/1000000)*-1</f>
        <v>0</v>
      </c>
      <c r="H9" s="34">
        <f>(((-SUMIF('BG COMP BABF'!$A:$A,$B9,'BG COMP BABF'!J:J)))/1000000)*-1</f>
        <v>0</v>
      </c>
    </row>
    <row r="10" spans="2:8" ht="12">
      <c r="B10" s="45" t="s">
        <v>30</v>
      </c>
      <c r="D10" s="33" t="s">
        <v>30</v>
      </c>
      <c r="E10" s="33"/>
      <c r="F10" s="34">
        <f>(((-SUMIF('BG COMP BABF'!$A:$A,$B10,'BG COMP BABF'!H:H)))/1000000)*-1</f>
        <v>0</v>
      </c>
      <c r="G10" s="34">
        <f>(((-SUMIF('BG COMP BABF'!$A:$A,$B10,'BG COMP BABF'!I:I)))/1000000)*-1</f>
        <v>0</v>
      </c>
      <c r="H10" s="34">
        <f>(((-SUMIF('BG COMP BABF'!$A:$A,$B10,'BG COMP BABF'!J:J)))/1000000)*-1</f>
        <v>0</v>
      </c>
    </row>
    <row r="11" spans="2:8" ht="12">
      <c r="B11" s="45" t="s">
        <v>378</v>
      </c>
      <c r="D11" s="33" t="s">
        <v>378</v>
      </c>
      <c r="E11" s="33"/>
      <c r="F11" s="34">
        <f>(((-SUMIF('BG COMP BABF'!$A:$A,$B11,'BG COMP BABF'!H:H)))/1000000)*-1</f>
        <v>4.0824999999999996</v>
      </c>
      <c r="G11" s="34">
        <f>(((-SUMIF('BG COMP BABF'!$A:$A,$B11,'BG COMP BABF'!I:I)))/1000000)*-1</f>
        <v>4.0824999999999996</v>
      </c>
      <c r="H11" s="34">
        <f>(((-SUMIF('BG COMP BABF'!$A:$A,$B11,'BG COMP BABF'!J:J)))/1000000)*-1</f>
        <v>4.0824999999999996</v>
      </c>
    </row>
    <row r="12" spans="2:8" ht="12">
      <c r="B12" s="45" t="s">
        <v>32</v>
      </c>
      <c r="D12" s="33" t="s">
        <v>32</v>
      </c>
      <c r="E12" s="33"/>
      <c r="F12" s="34">
        <f>(((-SUMIF('BG COMP BABF'!$A:$A,$B12,'BG COMP BABF'!H:H)))/1000000)*-1</f>
        <v>2.1284800000000001</v>
      </c>
      <c r="G12" s="34">
        <f>(((-SUMIF('BG COMP BABF'!$A:$A,$B12,'BG COMP BABF'!I:I)))/1000000)*-1</f>
        <v>2.2084800000000002</v>
      </c>
      <c r="H12" s="34">
        <f>(((-SUMIF('BG COMP BABF'!$A:$A,$B12,'BG COMP BABF'!J:J)))/1000000)*-1</f>
        <v>7.5429300000000001</v>
      </c>
    </row>
    <row r="13" spans="2:8" ht="12">
      <c r="B13" s="45" t="s">
        <v>379</v>
      </c>
      <c r="D13" s="33" t="s">
        <v>379</v>
      </c>
      <c r="E13" s="33"/>
      <c r="F13" s="34">
        <f>(((-SUMIF('BG COMP BABF'!$A:$A,$B13,'BG COMP BABF'!H:H)))/1000000)*-1</f>
        <v>2.0472269999999999</v>
      </c>
      <c r="G13" s="34">
        <f>(((-SUMIF('BG COMP BABF'!$A:$A,$B13,'BG COMP BABF'!I:I)))/1000000)*-1</f>
        <v>1.5525169999999999</v>
      </c>
      <c r="H13" s="34">
        <f>(((-SUMIF('BG COMP BABF'!$A:$A,$B13,'BG COMP BABF'!J:J)))/1000000)*-1</f>
        <v>-3.0179040000000001</v>
      </c>
    </row>
    <row r="14" spans="2:8" ht="12">
      <c r="B14" s="45" t="s">
        <v>453</v>
      </c>
      <c r="D14" s="33" t="s">
        <v>453</v>
      </c>
      <c r="E14" s="33"/>
      <c r="F14" s="34">
        <f>(((-SUMIF('BG COMP BABF'!$A:$A,$B14,'BG COMP BABF'!H:H)))/1000000)*-1</f>
        <v>0</v>
      </c>
      <c r="G14" s="34">
        <f>(((-SUMIF('BG COMP BABF'!$A:$A,$B14,'BG COMP BABF'!I:I)))/1000000)*-1</f>
        <v>0</v>
      </c>
      <c r="H14" s="34">
        <f>(((-SUMIF('BG COMP BABF'!$A:$A,$B14,'BG COMP BABF'!J:J)))/1000000)*-1</f>
        <v>0</v>
      </c>
    </row>
    <row r="15" spans="2:8" ht="12">
      <c r="B15" s="45" t="s">
        <v>380</v>
      </c>
      <c r="D15" s="33" t="s">
        <v>380</v>
      </c>
      <c r="E15" s="33"/>
      <c r="F15" s="34">
        <f>(((-SUMIF('BG COMP BABF'!$A:$A,$B15,'BG COMP BABF'!H:H)))/1000000)*-1</f>
        <v>7.8654979999999997</v>
      </c>
      <c r="G15" s="34">
        <f>(((-SUMIF('BG COMP BABF'!$A:$A,$B15,'BG COMP BABF'!I:I)))/1000000)*-1</f>
        <v>6.2017429999999996</v>
      </c>
      <c r="H15" s="34">
        <f>(((-SUMIF('BG COMP BABF'!$A:$A,$B15,'BG COMP BABF'!J:J)))/1000000)*-1</f>
        <v>9.960051</v>
      </c>
    </row>
    <row r="16" spans="2:8" ht="12">
      <c r="B16" s="45" t="s">
        <v>454</v>
      </c>
      <c r="D16" s="33" t="s">
        <v>454</v>
      </c>
      <c r="E16" s="33"/>
      <c r="F16" s="34">
        <f>(((-SUMIF('BG COMP BABF'!$A:$A,$B16,'BG COMP BABF'!H:H)))/1000000)*-1</f>
        <v>0</v>
      </c>
      <c r="G16" s="34">
        <f>(((-SUMIF('BG COMP BABF'!$A:$A,$B16,'BG COMP BABF'!I:I)))/1000000)*-1</f>
        <v>0</v>
      </c>
      <c r="H16" s="34">
        <f>(((-SUMIF('BG COMP BABF'!$A:$A,$B16,'BG COMP BABF'!J:J)))/1000000)*-1</f>
        <v>0</v>
      </c>
    </row>
    <row r="17" spans="2:8">
      <c r="B17" s="45"/>
      <c r="D17" s="35" t="s">
        <v>455</v>
      </c>
      <c r="E17" s="35"/>
      <c r="F17" s="6">
        <f>SUM(F8:F16)</f>
        <v>14.165590999999999</v>
      </c>
      <c r="G17" s="6">
        <f>SUM(G8:G16)</f>
        <v>11.270626</v>
      </c>
      <c r="H17" s="6">
        <f>SUM(H8:H16)</f>
        <v>14.976463000000001</v>
      </c>
    </row>
    <row r="18" spans="2:8" ht="12">
      <c r="B18" s="45" t="s">
        <v>381</v>
      </c>
      <c r="D18" s="33" t="s">
        <v>381</v>
      </c>
      <c r="E18" s="33"/>
      <c r="F18" s="34">
        <f>(((-SUMIF('BG COMP BABF'!$A:$A,$B18,'BG COMP BABF'!H:H)))/1000000)*-1</f>
        <v>0</v>
      </c>
      <c r="G18" s="34">
        <f>(((-SUMIF('BG COMP BABF'!$A:$A,$B18,'BG COMP BABF'!I:I)))/1000000)*-1</f>
        <v>0</v>
      </c>
      <c r="H18" s="34">
        <f>(((-SUMIF('BG COMP BABF'!$A:$A,$B18,'BG COMP BABF'!J:J)))/1000000)*-1</f>
        <v>1.86558</v>
      </c>
    </row>
    <row r="19" spans="2:8">
      <c r="B19" s="45"/>
      <c r="D19" s="35" t="s">
        <v>456</v>
      </c>
      <c r="E19" s="35"/>
      <c r="F19" s="6">
        <f>SUM(F18)</f>
        <v>0</v>
      </c>
      <c r="G19" s="6">
        <f>SUM(G18)</f>
        <v>0</v>
      </c>
      <c r="H19" s="6">
        <f>SUM(H18)</f>
        <v>1.86558</v>
      </c>
    </row>
    <row r="20" spans="2:8">
      <c r="B20" s="45" t="s">
        <v>377</v>
      </c>
      <c r="D20" s="37" t="s">
        <v>377</v>
      </c>
      <c r="E20" s="37"/>
      <c r="F20" s="6">
        <f>(((-SUMIF('BG COMP BABF'!$A:$A,$B20,'BG COMP BABF'!H:H)))/1000000)*-1</f>
        <v>123.49674</v>
      </c>
      <c r="G20" s="6">
        <f>(((-SUMIF('BG COMP BABF'!$A:$A,$B20,'BG COMP BABF'!I:I)))/1000000)*-1</f>
        <v>73.074270999999996</v>
      </c>
      <c r="H20" s="6">
        <f>(((-SUMIF('BG COMP BABF'!$A:$A,$B20,'BG COMP BABF'!J:J)))/1000000)*-1</f>
        <v>0</v>
      </c>
    </row>
    <row r="21" spans="2:8">
      <c r="B21" s="45"/>
      <c r="D21" s="116" t="s">
        <v>457</v>
      </c>
      <c r="E21" s="116"/>
      <c r="F21" s="117">
        <f>SUM(F19:F20,F17)</f>
        <v>137.66233099999999</v>
      </c>
      <c r="G21" s="117">
        <f>SUM(G19:G20,G17)</f>
        <v>84.344897000000003</v>
      </c>
      <c r="H21" s="117">
        <f>SUM(H19:H20,H17)</f>
        <v>16.842043</v>
      </c>
    </row>
    <row r="22" spans="2:8" ht="12">
      <c r="B22" s="45" t="s">
        <v>57</v>
      </c>
      <c r="D22" s="41" t="s">
        <v>458</v>
      </c>
      <c r="E22" s="41"/>
      <c r="F22" s="34">
        <f>(((-SUMIF('BG COMP BABF'!$A:$A,$B22,'BG COMP BABF'!H:H)))/1000000)*-1</f>
        <v>10.690842</v>
      </c>
      <c r="G22" s="34">
        <f>(((-SUMIF('BG COMP BABF'!$A:$A,$B22,'BG COMP BABF'!I:I)))/1000000)*-1</f>
        <v>80.194075999999995</v>
      </c>
      <c r="H22" s="34">
        <f>(((-SUMIF('BG COMP BABF'!$A:$A,$B22,'BG COMP BABF'!J:J)))/1000000)*-1</f>
        <v>203.83621500000001</v>
      </c>
    </row>
    <row r="23" spans="2:8" ht="12">
      <c r="B23" s="45" t="s">
        <v>384</v>
      </c>
      <c r="D23" s="41" t="s">
        <v>459</v>
      </c>
      <c r="E23" s="41"/>
      <c r="F23" s="34">
        <f>(((-SUMIF('BG COMP BABF'!$A:$A,$B23,'BG COMP BABF'!H:H)))/1000000)*-1</f>
        <v>0</v>
      </c>
      <c r="G23" s="34">
        <f>(((-SUMIF('BG COMP BABF'!$A:$A,$B23,'BG COMP BABF'!I:I)))/1000000)*-1</f>
        <v>0</v>
      </c>
      <c r="H23" s="34">
        <f>(((-SUMIF('BG COMP BABF'!$A:$A,$B23,'BG COMP BABF'!J:J)))/1000000)*-1</f>
        <v>0</v>
      </c>
    </row>
    <row r="24" spans="2:8">
      <c r="B24" s="45"/>
      <c r="D24" s="37" t="s">
        <v>458</v>
      </c>
      <c r="E24" s="37"/>
      <c r="F24" s="6">
        <f>SUM(F22:F23)</f>
        <v>10.690842</v>
      </c>
      <c r="G24" s="6">
        <f>SUM(G22:G23)</f>
        <v>80.194075999999995</v>
      </c>
      <c r="H24" s="6">
        <f>SUM(H22:H23)</f>
        <v>203.83621500000001</v>
      </c>
    </row>
    <row r="25" spans="2:8" ht="12">
      <c r="B25" s="45" t="s">
        <v>50</v>
      </c>
      <c r="D25" s="41" t="s">
        <v>460</v>
      </c>
      <c r="E25" s="41"/>
      <c r="F25" s="34">
        <f>(((-SUMIF('BG COMP BABF'!$A:$A,$B25,'BG COMP BABF'!H:H)))/1000000)*-1</f>
        <v>-47.847901</v>
      </c>
      <c r="G25" s="34">
        <f>(((-SUMIF('BG COMP BABF'!$A:$A,$B25,'BG COMP BABF'!I:I)))/1000000)*-1</f>
        <v>-49.432670000000002</v>
      </c>
      <c r="H25" s="34">
        <f>(((-SUMIF('BG COMP BABF'!$A:$A,$B25,'BG COMP BABF'!J:J)))/1000000)*-1</f>
        <v>-60.124212</v>
      </c>
    </row>
    <row r="26" spans="2:8" ht="12">
      <c r="B26" s="45" t="s">
        <v>383</v>
      </c>
      <c r="D26" s="41" t="s">
        <v>461</v>
      </c>
      <c r="E26" s="41"/>
      <c r="F26" s="34">
        <f>(((-SUMIF('BG COMP BABF'!$A:$A,$B26,'BG COMP BABF'!H:H)))/1000000)*-1</f>
        <v>0</v>
      </c>
      <c r="G26" s="34">
        <f>(((-SUMIF('BG COMP BABF'!$A:$A,$B26,'BG COMP BABF'!I:I)))/1000000)*-1</f>
        <v>0</v>
      </c>
      <c r="H26" s="34">
        <f>(((-SUMIF('BG COMP BABF'!$A:$A,$B26,'BG COMP BABF'!J:J)))/1000000)*-1</f>
        <v>1.0874999999999999</v>
      </c>
    </row>
    <row r="27" spans="2:8">
      <c r="B27" s="45"/>
      <c r="D27" s="37" t="s">
        <v>460</v>
      </c>
      <c r="E27" s="37"/>
      <c r="F27" s="6">
        <f>SUM(F25:F26)</f>
        <v>-47.847901</v>
      </c>
      <c r="G27" s="6">
        <f>SUM(G25:G26)</f>
        <v>-49.432670000000002</v>
      </c>
      <c r="H27" s="6">
        <f>SUM(H25:H26)</f>
        <v>-59.036712000000001</v>
      </c>
    </row>
    <row r="28" spans="2:8" ht="12">
      <c r="B28" s="45" t="s">
        <v>385</v>
      </c>
      <c r="D28" s="41" t="s">
        <v>385</v>
      </c>
      <c r="E28" s="41"/>
      <c r="F28" s="34">
        <f>(((-SUMIF('BG COMP BABF'!$A:$A,$B28,'BG COMP BABF'!H:H)))/1000000)*-1</f>
        <v>3.1804320000000001</v>
      </c>
      <c r="G28" s="34">
        <f>(((-SUMIF('BG COMP BABF'!$A:$A,$B28,'BG COMP BABF'!I:I)))/1000000)*-1</f>
        <v>1.2432E-2</v>
      </c>
      <c r="H28" s="34">
        <f>(((-SUMIF('BG COMP BABF'!$A:$A,$B28,'BG COMP BABF'!J:J)))/1000000)*-1</f>
        <v>0</v>
      </c>
    </row>
    <row r="29" spans="2:8" ht="12">
      <c r="B29" s="45" t="s">
        <v>499</v>
      </c>
      <c r="D29" s="41" t="s">
        <v>386</v>
      </c>
      <c r="E29" s="41"/>
      <c r="F29" s="34">
        <f>(((-SUMIF('BG COMP BABF'!$A:$A,$B29,'BG COMP BABF'!H:H)))/1000000)*-1</f>
        <v>-5.3656600000000001</v>
      </c>
      <c r="G29" s="34">
        <f>(((-SUMIF('BG COMP BABF'!$A:$A,$B29,'BG COMP BABF'!I:I)))/1000000)*-1</f>
        <v>-9.9377680000000002</v>
      </c>
      <c r="H29" s="34">
        <f>(((-SUMIF('BG COMP BABF'!$A:$A,$B29,'BG COMP BABF'!J:J)))/1000000)*-1</f>
        <v>-15.642410999999999</v>
      </c>
    </row>
    <row r="30" spans="2:8">
      <c r="B30" s="45"/>
      <c r="D30" s="37" t="s">
        <v>462</v>
      </c>
      <c r="E30" s="37"/>
      <c r="F30" s="6">
        <f>SUM(F28:F29)</f>
        <v>-2.1852279999999999</v>
      </c>
      <c r="G30" s="6">
        <f>SUM(G28:G29)</f>
        <v>-9.9253359999999997</v>
      </c>
      <c r="H30" s="6">
        <f>SUM(H28:H29)</f>
        <v>-15.642410999999999</v>
      </c>
    </row>
    <row r="31" spans="2:8" ht="12">
      <c r="B31" s="45" t="s">
        <v>387</v>
      </c>
      <c r="D31" s="41" t="s">
        <v>387</v>
      </c>
      <c r="E31" s="41"/>
      <c r="F31" s="34">
        <f>(((-SUMIF('BG COMP BABF'!$A:$A,$B31,'BG COMP BABF'!H:H)))/1000000)*-1</f>
        <v>-134.01262</v>
      </c>
      <c r="G31" s="34">
        <f>(((-SUMIF('BG COMP BABF'!$A:$A,$B31,'BG COMP BABF'!I:I)))/1000000)*-1</f>
        <v>-171.568613</v>
      </c>
      <c r="H31" s="34">
        <f>(((-SUMIF('BG COMP BABF'!$A:$A,$B31,'BG COMP BABF'!J:J)))/1000000)*-1</f>
        <v>-240.65371300000001</v>
      </c>
    </row>
    <row r="32" spans="2:8">
      <c r="B32" s="45"/>
      <c r="D32" s="37" t="s">
        <v>463</v>
      </c>
      <c r="E32" s="37"/>
      <c r="F32" s="6">
        <f>F31</f>
        <v>-134.01262</v>
      </c>
      <c r="G32" s="6">
        <f>G31</f>
        <v>-171.568613</v>
      </c>
      <c r="H32" s="6">
        <f>H31</f>
        <v>-240.65371300000001</v>
      </c>
    </row>
    <row r="33" spans="2:8" ht="12">
      <c r="B33" s="45" t="s">
        <v>388</v>
      </c>
      <c r="D33" s="41" t="s">
        <v>388</v>
      </c>
      <c r="E33" s="41"/>
      <c r="F33" s="34">
        <f>(((-SUMIF('BG COMP BABF'!$A:$A,$B33,'BG COMP BABF'!H:H)))/1000000)*-1</f>
        <v>-78.344233000000003</v>
      </c>
      <c r="G33" s="34">
        <f>(((-SUMIF('BG COMP BABF'!$A:$A,$B33,'BG COMP BABF'!I:I)))/1000000)*-1</f>
        <v>-24.717580999999999</v>
      </c>
      <c r="H33" s="34">
        <f>(((-SUMIF('BG COMP BABF'!$A:$A,$B33,'BG COMP BABF'!J:J)))/1000000)*-1</f>
        <v>-45.558338999999997</v>
      </c>
    </row>
    <row r="34" spans="2:8" ht="12">
      <c r="B34" s="45" t="s">
        <v>464</v>
      </c>
      <c r="D34" s="41" t="s">
        <v>464</v>
      </c>
      <c r="E34" s="41"/>
      <c r="F34" s="34">
        <f>(((-SUMIF('BG COMP BABF'!$A:$A,$B34,'BG COMP BABF'!H:H)))/1000000)*-1</f>
        <v>0</v>
      </c>
      <c r="G34" s="34">
        <f>(((-SUMIF('BG COMP BABF'!$A:$A,$B34,'BG COMP BABF'!I:I)))/1000000)*-1</f>
        <v>0</v>
      </c>
      <c r="H34" s="34">
        <f>(((-SUMIF('BG COMP BABF'!$A:$A,$B34,'BG COMP BABF'!J:J)))/1000000)*-1</f>
        <v>0</v>
      </c>
    </row>
    <row r="35" spans="2:8" ht="12">
      <c r="B35" s="45" t="s">
        <v>465</v>
      </c>
      <c r="D35" s="41" t="s">
        <v>465</v>
      </c>
      <c r="E35" s="41"/>
      <c r="F35" s="34">
        <f>(((-SUMIF('BG COMP BABF'!$A:$A,$B35,'BG COMP BABF'!H:H)))/1000000)*-1</f>
        <v>0</v>
      </c>
      <c r="G35" s="34">
        <f>(((-SUMIF('BG COMP BABF'!$A:$A,$B35,'BG COMP BABF'!I:I)))/1000000)*-1</f>
        <v>0</v>
      </c>
      <c r="H35" s="34">
        <f>(((-SUMIF('BG COMP BABF'!$A:$A,$B35,'BG COMP BABF'!J:J)))/1000000)*-1</f>
        <v>0</v>
      </c>
    </row>
    <row r="36" spans="2:8">
      <c r="B36" s="45"/>
      <c r="D36" s="37" t="s">
        <v>466</v>
      </c>
      <c r="E36" s="37"/>
      <c r="F36" s="6">
        <f>SUM(F33:F35)</f>
        <v>-78.344233000000003</v>
      </c>
      <c r="G36" s="6">
        <f>SUM(G33:G35)</f>
        <v>-24.717580999999999</v>
      </c>
      <c r="H36" s="6">
        <f>SUM(H33:H35)</f>
        <v>-45.558338999999997</v>
      </c>
    </row>
    <row r="37" spans="2:8">
      <c r="B37" s="45"/>
      <c r="D37" s="116" t="s">
        <v>467</v>
      </c>
      <c r="E37" s="116"/>
      <c r="F37" s="117">
        <f>F36+F32+F30+F27+F24</f>
        <v>-251.69913999999997</v>
      </c>
      <c r="G37" s="117">
        <f>G36+G32+G30+G27+G24</f>
        <v>-175.45012399999999</v>
      </c>
      <c r="H37" s="117">
        <f>H36+H32+H30+H27+H24</f>
        <v>-157.05496000000002</v>
      </c>
    </row>
    <row r="38" spans="2:8" ht="12">
      <c r="B38" s="45" t="s">
        <v>389</v>
      </c>
      <c r="D38" s="41" t="s">
        <v>389</v>
      </c>
      <c r="E38" s="41"/>
      <c r="F38" s="34">
        <f>(((-SUMIF('BG COMP BABF'!$A:$A,$B38,'BG COMP BABF'!H:H)))/1000000)*-1</f>
        <v>125.387237</v>
      </c>
      <c r="G38" s="34">
        <f>(((-SUMIF('BG COMP BABF'!$A:$A,$B38,'BG COMP BABF'!I:I)))/1000000)*-1</f>
        <v>164.230446</v>
      </c>
      <c r="H38" s="34">
        <f>(((-SUMIF('BG COMP BABF'!$A:$A,$B38,'BG COMP BABF'!J:J)))/1000000)*-1</f>
        <v>95.547542000000007</v>
      </c>
    </row>
    <row r="39" spans="2:8" ht="12">
      <c r="B39" s="45" t="s">
        <v>390</v>
      </c>
      <c r="D39" s="41" t="s">
        <v>390</v>
      </c>
      <c r="E39" s="41"/>
      <c r="F39" s="34">
        <f>(((-SUMIF('BG COMP BABF'!$A:$A,$B39,'BG COMP BABF'!H:H)))/1000000)*-1</f>
        <v>0.38857900000000001</v>
      </c>
      <c r="G39" s="34">
        <f>(((-SUMIF('BG COMP BABF'!$A:$A,$B39,'BG COMP BABF'!I:I)))/1000000)*-1</f>
        <v>-53.298015999999997</v>
      </c>
      <c r="H39" s="34">
        <f>(((-SUMIF('BG COMP BABF'!$A:$A,$B39,'BG COMP BABF'!J:J)))/1000000)*-1</f>
        <v>-61.653067999999998</v>
      </c>
    </row>
    <row r="40" spans="2:8" ht="12">
      <c r="B40" s="45" t="s">
        <v>391</v>
      </c>
      <c r="D40" s="41" t="s">
        <v>391</v>
      </c>
      <c r="E40" s="41"/>
      <c r="F40" s="34">
        <f>(((-SUMIF('BG COMP BABF'!$A:$A,$B40,'BG COMP BABF'!H:H)))/1000000)*-1</f>
        <v>2.5341619999999998</v>
      </c>
      <c r="G40" s="34">
        <f>(((-SUMIF('BG COMP BABF'!$A:$A,$B40,'BG COMP BABF'!I:I)))/1000000)*-1</f>
        <v>1.823302</v>
      </c>
      <c r="H40" s="34">
        <f>(((-SUMIF('BG COMP BABF'!$A:$A,$B40,'BG COMP BABF'!J:J)))/1000000)*-1</f>
        <v>5.3178570000000001</v>
      </c>
    </row>
    <row r="41" spans="2:8" ht="12">
      <c r="B41" s="45" t="s">
        <v>392</v>
      </c>
      <c r="D41" s="41" t="s">
        <v>392</v>
      </c>
      <c r="E41" s="41"/>
      <c r="F41" s="34">
        <f>(((-SUMIF('BG COMP BABF'!$A:$A,$B41,'BG COMP BABF'!H:H)))/1000000)*-1</f>
        <v>0</v>
      </c>
      <c r="G41" s="34">
        <f>(((-SUMIF('BG COMP BABF'!$A:$A,$B41,'BG COMP BABF'!I:I)))/1000000)*-1</f>
        <v>0</v>
      </c>
      <c r="H41" s="34">
        <f>(((-SUMIF('BG COMP BABF'!$A:$A,$B41,'BG COMP BABF'!J:J)))/1000000)*-1</f>
        <v>0</v>
      </c>
    </row>
    <row r="42" spans="2:8">
      <c r="B42" s="45"/>
      <c r="D42" s="37" t="s">
        <v>468</v>
      </c>
      <c r="E42" s="37"/>
      <c r="F42" s="6">
        <f>SUM(F38:F41)</f>
        <v>128.309978</v>
      </c>
      <c r="G42" s="6">
        <f>SUM(G38:G41)</f>
        <v>112.75573200000001</v>
      </c>
      <c r="H42" s="6">
        <f>SUM(H38:H41)</f>
        <v>39.212331000000006</v>
      </c>
    </row>
    <row r="43" spans="2:8" ht="12">
      <c r="B43" s="45" t="s">
        <v>374</v>
      </c>
      <c r="D43" s="41" t="s">
        <v>469</v>
      </c>
      <c r="E43" s="41"/>
      <c r="F43" s="34">
        <f>(((-SUMIF('BG COMP BABF'!$A:$A,$B43,'BG COMP BABF'!H:H)))/1000000)*-1</f>
        <v>0</v>
      </c>
      <c r="G43" s="34">
        <f>(((-SUMIF('BG COMP BABF'!$A:$A,$B43,'BG COMP BABF'!I:I)))/1000000)*-1</f>
        <v>0</v>
      </c>
      <c r="H43" s="34">
        <f>(((-SUMIF('BG COMP BABF'!$A:$A,$B43,'BG COMP BABF'!J:J)))/1000000)*-1</f>
        <v>0</v>
      </c>
    </row>
    <row r="44" spans="2:8" ht="12">
      <c r="B44" s="45" t="s">
        <v>375</v>
      </c>
      <c r="D44" s="41" t="s">
        <v>375</v>
      </c>
      <c r="E44" s="41"/>
      <c r="F44" s="34">
        <f>(((-SUMIF('BG COMP BABF'!$A:$A,$B44,'BG COMP BABF'!H:H)))/1000000)*-1</f>
        <v>0</v>
      </c>
      <c r="G44" s="34">
        <f>(((-SUMIF('BG COMP BABF'!$A:$A,$B44,'BG COMP BABF'!I:I)))/1000000)*-1</f>
        <v>0</v>
      </c>
      <c r="H44" s="34">
        <f>(((-SUMIF('BG COMP BABF'!$A:$A,$B44,'BG COMP BABF'!J:J)))/1000000)*-1</f>
        <v>0</v>
      </c>
    </row>
    <row r="45" spans="2:8">
      <c r="B45" s="45"/>
      <c r="D45" s="37" t="s">
        <v>470</v>
      </c>
      <c r="E45" s="37"/>
      <c r="F45" s="6">
        <f>SUM(F43:F44)</f>
        <v>0</v>
      </c>
      <c r="G45" s="6">
        <f>SUM(G43:G44)</f>
        <v>0</v>
      </c>
      <c r="H45" s="6">
        <f>SUM(H43:H44)</f>
        <v>0</v>
      </c>
    </row>
    <row r="46" spans="2:8">
      <c r="B46" s="45" t="s">
        <v>376</v>
      </c>
      <c r="D46" s="17" t="s">
        <v>376</v>
      </c>
      <c r="E46" s="17"/>
      <c r="F46" s="6">
        <f>(((-SUMIF('BG COMP BABF'!$A:$A,$B46,'BG COMP BABF'!H:H)))/1000000)*-1</f>
        <v>0</v>
      </c>
      <c r="G46" s="6">
        <f>(((-SUMIF('BG COMP BABF'!$A:$A,$B46,'BG COMP BABF'!I:I)))/1000000)*-1</f>
        <v>0</v>
      </c>
      <c r="H46" s="6">
        <f>(((-SUMIF('BG COMP BABF'!$A:$A,$B46,'BG COMP BABF'!J:J)))/1000000)*-1</f>
        <v>0</v>
      </c>
    </row>
    <row r="47" spans="2:8">
      <c r="B47" s="45"/>
      <c r="D47" s="118" t="s">
        <v>471</v>
      </c>
      <c r="E47" s="116"/>
      <c r="F47" s="117">
        <f>F46+F45+F42</f>
        <v>128.309978</v>
      </c>
      <c r="G47" s="117">
        <f>G46+G45+G42</f>
        <v>112.75573200000001</v>
      </c>
      <c r="H47" s="117">
        <f>H46+H45+H42</f>
        <v>39.212331000000006</v>
      </c>
    </row>
    <row r="48" spans="2:8" ht="12">
      <c r="B48" s="45" t="s">
        <v>472</v>
      </c>
      <c r="D48" s="17" t="s">
        <v>472</v>
      </c>
      <c r="E48" s="17"/>
      <c r="F48" s="34">
        <f>(((-SUMIF('BG COMP BABF'!$A:$A,$B48,'BG COMP BABF'!H:H)))/1000000)*-1</f>
        <v>0</v>
      </c>
      <c r="G48" s="34">
        <f>(((-SUMIF('BG COMP BABF'!$A:$A,$B48,'BG COMP BABF'!I:I)))/1000000)*-1</f>
        <v>0</v>
      </c>
      <c r="H48" s="34">
        <f>(((-SUMIF('BG COMP BABF'!$A:$A,$B48,'BG COMP BABF'!J:J)))/1000000)*-1</f>
        <v>0</v>
      </c>
    </row>
    <row r="49" spans="2:8">
      <c r="B49" s="45"/>
      <c r="D49" s="122" t="s">
        <v>473</v>
      </c>
      <c r="E49" s="122"/>
      <c r="F49" s="123">
        <f>F48</f>
        <v>0</v>
      </c>
      <c r="G49" s="123">
        <f>G48</f>
        <v>0</v>
      </c>
      <c r="H49" s="123">
        <f>H48</f>
        <v>0</v>
      </c>
    </row>
    <row r="50" spans="2:8">
      <c r="B50" s="45"/>
      <c r="D50" s="120" t="s">
        <v>474</v>
      </c>
      <c r="E50" s="120"/>
      <c r="F50" s="121">
        <f>F47+F49+F37+F21</f>
        <v>14.273169000000024</v>
      </c>
      <c r="G50" s="121">
        <f>G47+G49+G37+G21</f>
        <v>21.650505000000024</v>
      </c>
      <c r="H50" s="121">
        <f>H47+H49+H37+H21</f>
        <v>-101.00058600000001</v>
      </c>
    </row>
    <row r="51" spans="2:8">
      <c r="B51" s="114"/>
      <c r="C51" s="114"/>
      <c r="D51" s="56"/>
      <c r="E51" s="56"/>
      <c r="F51" s="6">
        <f>(((-SUMIF('BG COMP BABF'!$A:$A,$B51,'BG COMP BABF'!H:H)))/1000000)*-1</f>
        <v>0</v>
      </c>
      <c r="G51" s="6">
        <f>(((-SUMIF('BG COMP BABF'!$A:$A,$B51,'BG COMP BABF'!I:I)))/1000000)*-1</f>
        <v>0</v>
      </c>
      <c r="H51" s="6">
        <f>(((-SUMIF('BG COMP BABF'!$A:$A,$B51,'BG COMP BABF'!J:J)))/1000000)*-1</f>
        <v>0</v>
      </c>
    </row>
    <row r="52" spans="2:8">
      <c r="B52" s="45" t="s">
        <v>369</v>
      </c>
      <c r="D52" s="50" t="s">
        <v>369</v>
      </c>
      <c r="E52" s="50"/>
      <c r="F52" s="6">
        <f>-(((-SUMIF('BG COMP BABF'!$A:$A,$B52,'BG COMP BABF'!H:H)))/1000000)*-1</f>
        <v>10</v>
      </c>
      <c r="G52" s="6">
        <f>-(((-SUMIF('BG COMP BABF'!$A:$A,$B52,'BG COMP BABF'!I:I)))/1000000)*-1</f>
        <v>10</v>
      </c>
      <c r="H52" s="6">
        <f>-(((-SUMIF('BG COMP BABF'!$A:$A,$B52,'BG COMP BABF'!J:J)))/1000000)*-1</f>
        <v>10</v>
      </c>
    </row>
    <row r="53" spans="2:8">
      <c r="B53" s="45" t="s">
        <v>370</v>
      </c>
      <c r="D53" s="50" t="s">
        <v>370</v>
      </c>
      <c r="E53" s="50"/>
      <c r="F53" s="6">
        <f>-(((-SUMIF('BG COMP BABF'!$A:$A,$B53,'BG COMP BABF'!H:H)))/1000000)*-1</f>
        <v>0</v>
      </c>
      <c r="G53" s="6">
        <f>-(((-SUMIF('BG COMP BABF'!$A:$A,$B53,'BG COMP BABF'!I:I)))/1000000)*-1</f>
        <v>0.35315099999999999</v>
      </c>
      <c r="H53" s="6">
        <f>-(((-SUMIF('BG COMP BABF'!$A:$A,$B53,'BG COMP BABF'!J:J)))/1000000)*-1</f>
        <v>1.0979479999999999</v>
      </c>
    </row>
    <row r="54" spans="2:8">
      <c r="B54" s="45" t="s">
        <v>371</v>
      </c>
      <c r="D54" s="50" t="s">
        <v>371</v>
      </c>
      <c r="E54" s="50"/>
      <c r="F54" s="6">
        <f>(((-SUMIF('BG COMP BABF'!$A:$A,$B54,'BG COMP BABF'!H:H)))/1000000)*-1</f>
        <v>0</v>
      </c>
      <c r="G54" s="6">
        <f>(((-SUMIF('BG COMP BABF'!$A:$A,$B54,'BG COMP BABF'!I:I)))/1000000)*-1</f>
        <v>0</v>
      </c>
      <c r="H54" s="6">
        <f>(((-SUMIF('BG COMP BABF'!$A:$A,$B54,'BG COMP BABF'!J:J)))/1000000)*-1</f>
        <v>0</v>
      </c>
    </row>
    <row r="55" spans="2:8">
      <c r="B55" s="45" t="s">
        <v>372</v>
      </c>
      <c r="D55" s="50" t="s">
        <v>372</v>
      </c>
      <c r="E55" s="50"/>
      <c r="F55" s="6">
        <f>-(((-SUMIF('BG COMP BABF'!$A:$A,$B55,'BG COMP BABF'!H:H)))/1000000)*-1</f>
        <v>0.74166399999999999</v>
      </c>
      <c r="G55" s="6">
        <f>-(((-SUMIF('BG COMP BABF'!$A:$A,$B55,'BG COMP BABF'!I:I)))/1000000)*-1</f>
        <v>3.8493879999999998</v>
      </c>
      <c r="H55" s="6">
        <f>-(((-SUMIF('BG COMP BABF'!$A:$A,$B55,'BG COMP BABF'!J:J)))/1000000)*-1</f>
        <v>10.403598000000001</v>
      </c>
    </row>
    <row r="56" spans="2:8">
      <c r="B56" s="45" t="s">
        <v>373</v>
      </c>
      <c r="D56" s="50" t="s">
        <v>373</v>
      </c>
      <c r="E56" s="50"/>
      <c r="F56" s="6">
        <f>(((-SUMIF('BG COMP BABF'!$A:$A,$B56,'BG COMP BABF'!H:H)))/1000000)*-1</f>
        <v>0</v>
      </c>
      <c r="G56" s="6">
        <f>(((-SUMIF('BG COMP BABF'!$A:$A,$B56,'BG COMP BABF'!I:I)))/1000000)*-1</f>
        <v>0</v>
      </c>
      <c r="H56" s="6">
        <f>(((-SUMIF('BG COMP BABF'!$A:$A,$B56,'BG COMP BABF'!J:J)))/1000000)*-1</f>
        <v>0</v>
      </c>
    </row>
    <row r="57" spans="2:8">
      <c r="B57" s="45"/>
      <c r="D57" s="50" t="s">
        <v>449</v>
      </c>
      <c r="E57" s="50"/>
      <c r="F57" s="6">
        <f>'Cdr BABF'!F51/1000000</f>
        <v>3.4201679999999999</v>
      </c>
      <c r="G57" s="6">
        <f>'Cdr BABF'!G51/1000000</f>
        <v>7.4479660000000001</v>
      </c>
      <c r="H57" s="6">
        <f>'Cdr BABF'!H51/1000000</f>
        <v>-122.502132</v>
      </c>
    </row>
    <row r="58" spans="2:8" ht="12">
      <c r="B58" s="45"/>
      <c r="D58" s="50"/>
      <c r="E58" s="50"/>
      <c r="F58" s="34">
        <f>(((-SUMIF('BG COMP BABF'!$A:$A,$B58,'BG COMP BABF'!H:H)))/1000000)*-1</f>
        <v>0</v>
      </c>
      <c r="G58" s="34">
        <f>(((-SUMIF('BG COMP BABF'!$A:$A,$B58,'BG COMP BABF'!I:I)))/1000000)*-1</f>
        <v>0</v>
      </c>
      <c r="H58" s="34">
        <f>(((-SUMIF('BG COMP BABF'!$A:$A,$B58,'BG COMP BABF'!J:J)))/1000000)*-1</f>
        <v>0</v>
      </c>
    </row>
    <row r="59" spans="2:8">
      <c r="B59" s="45"/>
      <c r="D59" s="47" t="s">
        <v>475</v>
      </c>
      <c r="E59" s="47"/>
      <c r="F59" s="3">
        <f>SUM(F52:F57)</f>
        <v>14.161832</v>
      </c>
      <c r="G59" s="3">
        <f>SUM(G52:G57)</f>
        <v>21.650504999999999</v>
      </c>
      <c r="H59" s="3">
        <f>SUM(H52:H57)</f>
        <v>-101.000586</v>
      </c>
    </row>
    <row r="60" spans="2:8" ht="12">
      <c r="B60" s="114"/>
      <c r="C60" s="114"/>
      <c r="D60" s="48"/>
      <c r="E60" s="48"/>
      <c r="F60" s="48"/>
      <c r="G60" s="48"/>
      <c r="H60" s="114"/>
    </row>
    <row r="61" spans="2:8" ht="12">
      <c r="D61" s="53"/>
      <c r="E61" s="53"/>
      <c r="F61" s="53"/>
      <c r="G61" s="53"/>
      <c r="H61" s="54"/>
    </row>
    <row r="62" spans="2:8" ht="12">
      <c r="D62" s="53"/>
      <c r="E62" s="53"/>
      <c r="F62" s="53"/>
      <c r="G62" s="53"/>
      <c r="H62" s="54"/>
    </row>
    <row r="63" spans="2:8" ht="12">
      <c r="D63" s="53"/>
      <c r="E63" s="53"/>
      <c r="F63" s="53"/>
      <c r="G63" s="53"/>
      <c r="H63" s="54"/>
    </row>
    <row r="64" spans="2:8">
      <c r="D64" s="55" t="s">
        <v>476</v>
      </c>
      <c r="E64" s="55"/>
      <c r="F64" s="55"/>
      <c r="G64" s="55"/>
      <c r="H64" s="56"/>
    </row>
    <row r="66" spans="4:8" ht="12">
      <c r="D66" s="57" t="s">
        <v>477</v>
      </c>
      <c r="E66" s="57"/>
      <c r="F66" s="57"/>
      <c r="G66" s="57"/>
      <c r="H66" s="58">
        <f>H50-H59</f>
        <v>0</v>
      </c>
    </row>
  </sheetData>
  <pageMargins left="0.7" right="0.7" top="0.75" bottom="0.75" header="0.3" footer="0.3"/>
  <customProperties>
    <customPr name="AreLinksHighlight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Y66"/>
  <sheetViews>
    <sheetView workbookViewId="0">
      <selection activeCell="C45" sqref="C45"/>
    </sheetView>
  </sheetViews>
  <sheetFormatPr baseColWidth="10" defaultColWidth="11.3984375" defaultRowHeight="11.5"/>
  <cols>
    <col min="2" max="2" width="37.3984375" bestFit="1" customWidth="1"/>
    <col min="3" max="3" width="10.3984375" customWidth="1"/>
    <col min="6" max="7" width="16" bestFit="1" customWidth="1"/>
    <col min="9" max="9" width="12" bestFit="1" customWidth="1"/>
  </cols>
  <sheetData>
    <row r="1" spans="1:25">
      <c r="A1">
        <v>66</v>
      </c>
      <c r="B1">
        <v>25</v>
      </c>
    </row>
    <row r="2" spans="1:25" ht="14.5">
      <c r="B2" s="74"/>
    </row>
    <row r="4" spans="1:25">
      <c r="B4" s="75"/>
      <c r="C4" s="75"/>
    </row>
    <row r="5" spans="1:25">
      <c r="B5" s="75"/>
      <c r="C5" s="75"/>
    </row>
    <row r="6" spans="1:25">
      <c r="B6" s="75"/>
      <c r="C6" s="75"/>
    </row>
    <row r="7" spans="1:25" ht="12">
      <c r="B7" s="96"/>
      <c r="C7" s="95"/>
      <c r="D7" s="95"/>
      <c r="E7" s="95"/>
      <c r="F7" s="104"/>
      <c r="G7" s="23"/>
      <c r="H7" s="22"/>
      <c r="I7" s="21"/>
    </row>
    <row r="8" spans="1:25">
      <c r="D8" s="125"/>
      <c r="E8" s="126"/>
      <c r="F8" s="125"/>
      <c r="G8" s="127"/>
      <c r="H8" s="127"/>
    </row>
    <row r="9" spans="1:25">
      <c r="B9" s="80"/>
      <c r="C9" s="105"/>
    </row>
    <row r="10" spans="1:25" ht="12">
      <c r="B10" s="96"/>
      <c r="C10" s="95"/>
      <c r="D10" s="95"/>
      <c r="E10" s="95"/>
      <c r="F10" s="104"/>
      <c r="G10" s="130"/>
      <c r="H10" s="129"/>
      <c r="I10" s="20"/>
    </row>
    <row r="11" spans="1:25">
      <c r="B11" s="81"/>
      <c r="C11" s="97"/>
      <c r="D11" s="128"/>
      <c r="F11" s="128"/>
      <c r="G11" s="130"/>
      <c r="H11" s="129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>
      <c r="B12" s="89"/>
      <c r="C12" s="93"/>
      <c r="D12" s="128"/>
      <c r="F12" s="128"/>
      <c r="G12" s="130"/>
      <c r="H12" s="129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>
      <c r="B13" s="89"/>
      <c r="C13" s="93"/>
      <c r="D13" s="128"/>
      <c r="F13" s="128"/>
      <c r="G13" s="130"/>
      <c r="H13" s="129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>
      <c r="B14" s="89"/>
      <c r="C14" s="93"/>
      <c r="D14" s="128"/>
      <c r="F14" s="128"/>
      <c r="G14" s="130"/>
      <c r="H14" s="12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>
      <c r="B15" s="89"/>
      <c r="C15" s="93"/>
      <c r="D15" s="128"/>
      <c r="F15" s="128"/>
      <c r="G15" s="130"/>
      <c r="H15" s="129"/>
      <c r="I15" s="6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B16" s="89"/>
      <c r="C16" s="93"/>
      <c r="D16" s="128"/>
      <c r="F16" s="128"/>
      <c r="G16" s="130"/>
      <c r="H16" s="12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ht="12">
      <c r="B17" s="89"/>
      <c r="C17" s="93"/>
      <c r="D17" s="35"/>
      <c r="E17" s="34"/>
      <c r="F17" s="36"/>
      <c r="G17" s="36"/>
      <c r="H17" s="8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2:25" ht="12">
      <c r="B18" s="89"/>
      <c r="C18" s="93"/>
      <c r="D18" s="93"/>
      <c r="E18" s="93"/>
      <c r="F18" s="104"/>
      <c r="G18" s="7"/>
      <c r="H18" s="8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2:25">
      <c r="B19" s="89"/>
      <c r="C19" s="93"/>
      <c r="D19" s="131"/>
      <c r="E19" s="131"/>
      <c r="F19" s="131"/>
      <c r="G19" s="132"/>
      <c r="H19" s="133"/>
      <c r="I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2:25">
      <c r="B20" s="98"/>
      <c r="C20" s="97"/>
      <c r="D20" s="134"/>
      <c r="E20" s="134"/>
      <c r="F20" s="134"/>
      <c r="G20" s="135"/>
      <c r="H20" s="136"/>
      <c r="I20" s="6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2:25" ht="12">
      <c r="B21" s="91"/>
      <c r="C21" s="101"/>
      <c r="D21" s="39"/>
      <c r="E21" s="34"/>
      <c r="F21" s="40"/>
      <c r="G21" s="40"/>
      <c r="H21" s="82"/>
      <c r="I21" s="6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2:25" ht="12">
      <c r="C22" s="106"/>
      <c r="D22" s="106"/>
      <c r="E22" s="106"/>
      <c r="F22" s="104"/>
      <c r="G22" s="103"/>
      <c r="H22" s="99"/>
      <c r="I22" s="6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2:25" ht="12">
      <c r="B23" s="89"/>
      <c r="C23" s="93"/>
      <c r="D23" s="93"/>
      <c r="E23" s="93"/>
      <c r="F23" s="104"/>
      <c r="G23" s="7"/>
      <c r="H23" s="7"/>
      <c r="I23" s="6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2:25" ht="12">
      <c r="B24" s="102"/>
      <c r="C24" s="101"/>
      <c r="D24" s="37"/>
      <c r="E24" s="34"/>
      <c r="F24" s="42"/>
      <c r="G24" s="42"/>
      <c r="H24" s="100"/>
      <c r="I24" s="62"/>
      <c r="K24" s="18"/>
    </row>
    <row r="25" spans="2:25">
      <c r="I25" s="62"/>
    </row>
    <row r="26" spans="2:25">
      <c r="I26" s="62"/>
    </row>
    <row r="27" spans="2:25" ht="12">
      <c r="D27" s="37"/>
      <c r="E27" s="34"/>
      <c r="F27" s="42"/>
      <c r="G27" s="42"/>
      <c r="I27" s="62"/>
    </row>
    <row r="28" spans="2:25">
      <c r="I28" s="62"/>
    </row>
    <row r="29" spans="2:25">
      <c r="I29" s="62"/>
    </row>
    <row r="30" spans="2:25" ht="12">
      <c r="D30" s="37"/>
      <c r="E30" s="34"/>
      <c r="F30" s="42"/>
      <c r="G30" s="42"/>
      <c r="I30" s="62"/>
    </row>
    <row r="31" spans="2:25">
      <c r="I31" s="62"/>
    </row>
    <row r="32" spans="2:25" ht="12">
      <c r="D32" s="37"/>
      <c r="E32" s="34"/>
      <c r="F32" s="42"/>
      <c r="G32" s="42"/>
    </row>
    <row r="34" spans="3:10">
      <c r="D34" s="79"/>
      <c r="E34" s="92"/>
      <c r="F34" s="92"/>
      <c r="G34" s="92"/>
    </row>
    <row r="35" spans="3:10">
      <c r="D35" s="87"/>
      <c r="E35" s="86"/>
      <c r="F35" s="86"/>
      <c r="G35" s="86"/>
      <c r="H35" s="85"/>
    </row>
    <row r="36" spans="3:10" ht="12">
      <c r="D36" s="37"/>
      <c r="E36" s="34"/>
      <c r="F36" s="42"/>
      <c r="G36" s="42"/>
      <c r="H36" s="85"/>
    </row>
    <row r="37" spans="3:10" ht="12">
      <c r="D37" s="43"/>
      <c r="E37" s="34"/>
      <c r="F37" s="44"/>
      <c r="G37" s="44"/>
    </row>
    <row r="38" spans="3:10">
      <c r="D38" s="90"/>
      <c r="E38" s="88"/>
      <c r="F38" s="88"/>
      <c r="G38" s="88"/>
    </row>
    <row r="39" spans="3:10">
      <c r="D39" s="81"/>
      <c r="E39" s="94"/>
      <c r="F39" s="94"/>
      <c r="G39" s="94"/>
      <c r="H39" s="85"/>
      <c r="I39" s="62"/>
    </row>
    <row r="40" spans="3:10">
      <c r="D40" s="87"/>
      <c r="E40" s="86"/>
      <c r="F40" s="86"/>
      <c r="G40" s="86"/>
      <c r="I40" s="62"/>
    </row>
    <row r="41" spans="3:10" ht="12" thickBot="1">
      <c r="D41" s="87"/>
      <c r="E41" s="86"/>
      <c r="F41" s="86"/>
      <c r="G41" s="86"/>
    </row>
    <row r="42" spans="3:10">
      <c r="C42" s="140"/>
      <c r="D42" s="141"/>
      <c r="E42" s="15"/>
      <c r="F42" s="15"/>
      <c r="G42" s="15"/>
      <c r="H42" s="15"/>
      <c r="I42" s="62"/>
      <c r="J42" s="64"/>
    </row>
    <row r="43" spans="3:10">
      <c r="D43" s="87"/>
      <c r="E43" s="86"/>
      <c r="F43" s="86"/>
      <c r="G43" s="86"/>
      <c r="I43" s="62"/>
    </row>
    <row r="44" spans="3:10">
      <c r="D44" s="87"/>
      <c r="E44" s="166"/>
      <c r="F44" s="146"/>
      <c r="G44" s="146"/>
      <c r="H44" s="146"/>
      <c r="I44" s="62"/>
    </row>
    <row r="45" spans="3:10">
      <c r="C45" s="139"/>
      <c r="D45" s="37"/>
      <c r="E45" s="162"/>
      <c r="F45" s="162"/>
      <c r="G45" s="162"/>
      <c r="I45" s="62"/>
    </row>
    <row r="46" spans="3:10">
      <c r="D46" s="17"/>
      <c r="E46" s="162"/>
      <c r="F46" s="162"/>
      <c r="G46" s="162"/>
      <c r="I46" s="62"/>
    </row>
    <row r="47" spans="3:10">
      <c r="D47" s="46"/>
      <c r="E47" s="162"/>
      <c r="F47" s="162"/>
      <c r="G47" s="162"/>
      <c r="H47" s="85"/>
      <c r="I47" s="62"/>
    </row>
    <row r="48" spans="3:10" ht="12" thickBot="1">
      <c r="D48" s="87"/>
      <c r="E48" s="86"/>
      <c r="F48" s="86"/>
      <c r="G48" s="86"/>
      <c r="H48" s="85"/>
      <c r="I48" s="62"/>
    </row>
    <row r="49" spans="3:12" ht="12">
      <c r="D49" s="43"/>
      <c r="E49" s="34"/>
      <c r="F49" s="44"/>
      <c r="G49" s="44"/>
      <c r="I49" s="62"/>
    </row>
    <row r="50" spans="3:12" ht="12">
      <c r="D50" s="47"/>
      <c r="E50" s="34"/>
      <c r="F50" s="147"/>
      <c r="G50" s="147"/>
      <c r="H50" s="147"/>
      <c r="I50" s="62"/>
    </row>
    <row r="51" spans="3:12" ht="12">
      <c r="D51" s="48"/>
      <c r="E51" s="34"/>
      <c r="F51" s="114"/>
      <c r="G51" s="115"/>
      <c r="H51" s="111"/>
      <c r="I51" s="62"/>
    </row>
    <row r="52" spans="3:12" ht="12">
      <c r="D52" s="49"/>
      <c r="E52" s="34"/>
      <c r="F52" s="38"/>
      <c r="G52" s="38"/>
      <c r="I52" s="62"/>
    </row>
    <row r="53" spans="3:12" ht="12">
      <c r="D53" s="49"/>
      <c r="E53" s="34"/>
      <c r="F53" s="38"/>
      <c r="G53" s="38"/>
      <c r="I53" s="62"/>
    </row>
    <row r="54" spans="3:12" ht="12">
      <c r="D54" s="49"/>
      <c r="E54" s="34"/>
      <c r="F54" s="38"/>
      <c r="G54" s="38"/>
      <c r="I54" s="62"/>
    </row>
    <row r="55" spans="3:12" ht="12">
      <c r="C55" s="7"/>
      <c r="D55" s="49"/>
      <c r="E55" s="34"/>
      <c r="F55" s="38"/>
      <c r="G55" s="38"/>
      <c r="H55" s="73"/>
      <c r="I55" s="62"/>
      <c r="J55" s="73"/>
      <c r="K55" s="73"/>
      <c r="L55" s="73"/>
    </row>
    <row r="56" spans="3:12" ht="12">
      <c r="C56" s="7"/>
      <c r="D56" s="49"/>
      <c r="E56" s="34"/>
      <c r="F56" s="38"/>
      <c r="G56" s="38"/>
      <c r="H56" s="19"/>
      <c r="I56" s="62"/>
      <c r="J56" s="19"/>
      <c r="K56" s="19"/>
      <c r="L56" s="19"/>
    </row>
    <row r="57" spans="3:12" ht="12">
      <c r="D57" s="49"/>
      <c r="E57" s="34"/>
      <c r="F57" s="38"/>
      <c r="G57" s="38"/>
    </row>
    <row r="58" spans="3:12">
      <c r="D58" s="90"/>
      <c r="E58" s="88"/>
      <c r="F58" s="88"/>
      <c r="G58" s="88"/>
    </row>
    <row r="59" spans="3:12">
      <c r="D59" s="51"/>
      <c r="E59" s="52"/>
      <c r="F59" s="52"/>
      <c r="G59" s="52"/>
      <c r="I59" s="62"/>
    </row>
    <row r="60" spans="3:12">
      <c r="D60" s="87"/>
      <c r="E60" s="86"/>
      <c r="F60" s="86"/>
      <c r="G60" s="86"/>
    </row>
    <row r="61" spans="3:12">
      <c r="D61" s="90"/>
      <c r="E61" s="88"/>
      <c r="F61" s="88"/>
      <c r="G61" s="88"/>
    </row>
    <row r="66" spans="6:6">
      <c r="F6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Y66"/>
  <sheetViews>
    <sheetView workbookViewId="0">
      <selection activeCell="C45" sqref="C45"/>
    </sheetView>
  </sheetViews>
  <sheetFormatPr baseColWidth="10" defaultColWidth="11.3984375" defaultRowHeight="11.5"/>
  <cols>
    <col min="2" max="2" width="37.3984375" bestFit="1" customWidth="1"/>
    <col min="3" max="3" width="10.3984375" customWidth="1"/>
    <col min="6" max="7" width="16" bestFit="1" customWidth="1"/>
    <col min="9" max="9" width="12" bestFit="1" customWidth="1"/>
  </cols>
  <sheetData>
    <row r="1" spans="1:25">
      <c r="A1">
        <v>83</v>
      </c>
      <c r="B1">
        <v>25</v>
      </c>
    </row>
    <row r="2" spans="1:25">
      <c r="B2" s="76"/>
      <c r="C2" s="77"/>
    </row>
    <row r="4" spans="1:25">
      <c r="B4" s="75"/>
      <c r="C4" s="75"/>
    </row>
    <row r="5" spans="1:25">
      <c r="B5" s="75"/>
      <c r="C5" s="75"/>
    </row>
    <row r="6" spans="1:25">
      <c r="B6" s="75"/>
      <c r="C6" s="75"/>
    </row>
    <row r="7" spans="1:25" ht="12">
      <c r="B7" s="96"/>
      <c r="C7" s="95"/>
      <c r="D7" s="95"/>
      <c r="E7" s="95"/>
      <c r="F7" s="104"/>
      <c r="G7" s="23"/>
      <c r="H7" s="22"/>
      <c r="I7" s="21"/>
    </row>
    <row r="8" spans="1:25">
      <c r="D8" s="125"/>
      <c r="E8" s="126"/>
      <c r="F8" s="125"/>
      <c r="G8" s="127"/>
      <c r="H8" s="127"/>
    </row>
    <row r="9" spans="1:25">
      <c r="B9" s="80"/>
      <c r="C9" s="105"/>
    </row>
    <row r="10" spans="1:25" ht="12">
      <c r="B10" s="96"/>
      <c r="C10" s="95"/>
      <c r="D10" s="95"/>
      <c r="E10" s="95"/>
      <c r="F10" s="104"/>
      <c r="G10" s="130"/>
      <c r="H10" s="129"/>
      <c r="I10" s="20"/>
    </row>
    <row r="11" spans="1:25">
      <c r="B11" s="81"/>
      <c r="C11" s="97"/>
      <c r="D11" s="128"/>
      <c r="F11" s="128"/>
      <c r="G11" s="130"/>
      <c r="H11" s="129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>
      <c r="B12" s="89"/>
      <c r="C12" s="93"/>
      <c r="D12" s="128"/>
      <c r="F12" s="128"/>
      <c r="G12" s="130"/>
      <c r="H12" s="129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>
      <c r="B13" s="89"/>
      <c r="C13" s="93"/>
      <c r="D13" s="128"/>
      <c r="F13" s="128"/>
      <c r="G13" s="130"/>
      <c r="H13" s="129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>
      <c r="B14" s="89"/>
      <c r="C14" s="93"/>
      <c r="D14" s="128"/>
      <c r="F14" s="128"/>
      <c r="G14" s="130"/>
      <c r="H14" s="12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>
      <c r="B15" s="89"/>
      <c r="C15" s="93"/>
      <c r="D15" s="128"/>
      <c r="F15" s="128"/>
      <c r="G15" s="130"/>
      <c r="H15" s="129"/>
      <c r="I15" s="6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B16" s="89"/>
      <c r="C16" s="93"/>
      <c r="D16" s="128"/>
      <c r="F16" s="128"/>
      <c r="G16" s="130"/>
      <c r="H16" s="12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ht="12">
      <c r="B17" s="89"/>
      <c r="C17" s="93"/>
      <c r="D17" s="35"/>
      <c r="E17" s="34"/>
      <c r="F17" s="36"/>
      <c r="G17" s="36"/>
      <c r="H17" s="8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2:25" ht="12">
      <c r="B18" s="89"/>
      <c r="C18" s="93"/>
      <c r="D18" s="93"/>
      <c r="E18" s="93"/>
      <c r="F18" s="104"/>
      <c r="G18" s="7"/>
      <c r="H18" s="8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2:25">
      <c r="B19" s="89"/>
      <c r="C19" s="93"/>
      <c r="D19" s="131"/>
      <c r="E19" s="131"/>
      <c r="F19" s="131"/>
      <c r="G19" s="132"/>
      <c r="H19" s="133"/>
      <c r="I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2:25">
      <c r="B20" s="98"/>
      <c r="C20" s="97"/>
      <c r="D20" s="134"/>
      <c r="E20" s="134"/>
      <c r="F20" s="134"/>
      <c r="G20" s="135"/>
      <c r="H20" s="136"/>
      <c r="I20" s="6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2:25" ht="12">
      <c r="B21" s="91"/>
      <c r="C21" s="101"/>
      <c r="D21" s="39"/>
      <c r="E21" s="34"/>
      <c r="F21" s="40"/>
      <c r="G21" s="40"/>
      <c r="H21" s="82"/>
      <c r="I21" s="6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2:25" ht="12">
      <c r="C22" s="106"/>
      <c r="D22" s="106"/>
      <c r="E22" s="106"/>
      <c r="F22" s="104"/>
      <c r="G22" s="103"/>
      <c r="H22" s="99"/>
      <c r="I22" s="6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2:25" ht="12">
      <c r="B23" s="89"/>
      <c r="C23" s="93"/>
      <c r="D23" s="93"/>
      <c r="E23" s="93"/>
      <c r="F23" s="104"/>
      <c r="G23" s="7"/>
      <c r="H23" s="7"/>
      <c r="I23" s="6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2:25" ht="12">
      <c r="B24" s="102"/>
      <c r="C24" s="101"/>
      <c r="D24" s="37"/>
      <c r="E24" s="34"/>
      <c r="F24" s="42"/>
      <c r="G24" s="42"/>
      <c r="H24" s="100"/>
      <c r="I24" s="62"/>
      <c r="K24" s="18"/>
    </row>
    <row r="25" spans="2:25">
      <c r="I25" s="62"/>
    </row>
    <row r="26" spans="2:25">
      <c r="I26" s="62"/>
    </row>
    <row r="27" spans="2:25" ht="12">
      <c r="D27" s="37"/>
      <c r="E27" s="34"/>
      <c r="F27" s="42"/>
      <c r="G27" s="42"/>
      <c r="I27" s="62"/>
    </row>
    <row r="28" spans="2:25">
      <c r="I28" s="62"/>
    </row>
    <row r="29" spans="2:25">
      <c r="I29" s="62"/>
    </row>
    <row r="30" spans="2:25" ht="12">
      <c r="D30" s="37"/>
      <c r="E30" s="34"/>
      <c r="F30" s="42"/>
      <c r="G30" s="42"/>
      <c r="I30" s="62"/>
    </row>
    <row r="31" spans="2:25">
      <c r="I31" s="62"/>
    </row>
    <row r="32" spans="2:25" ht="12">
      <c r="D32" s="37"/>
      <c r="E32" s="34"/>
      <c r="F32" s="42"/>
      <c r="G32" s="42"/>
    </row>
    <row r="34" spans="3:10">
      <c r="D34" s="79"/>
      <c r="E34" s="92"/>
      <c r="F34" s="92"/>
      <c r="G34" s="92"/>
    </row>
    <row r="35" spans="3:10">
      <c r="D35" s="89"/>
      <c r="E35" s="93"/>
      <c r="F35" s="93"/>
      <c r="G35" s="93"/>
      <c r="H35" s="85"/>
    </row>
    <row r="36" spans="3:10" ht="12">
      <c r="D36" s="37"/>
      <c r="E36" s="34"/>
      <c r="F36" s="42"/>
      <c r="G36" s="42"/>
      <c r="H36" s="85"/>
    </row>
    <row r="37" spans="3:10" ht="12">
      <c r="D37" s="43"/>
      <c r="E37" s="34"/>
      <c r="F37" s="44"/>
      <c r="G37" s="44"/>
    </row>
    <row r="38" spans="3:10">
      <c r="D38" s="90"/>
      <c r="E38" s="88"/>
      <c r="F38" s="88"/>
      <c r="G38" s="88"/>
    </row>
    <row r="39" spans="3:10">
      <c r="D39" s="81"/>
      <c r="E39" s="94"/>
      <c r="F39" s="94"/>
      <c r="G39" s="94"/>
      <c r="H39" s="85"/>
      <c r="I39" s="62"/>
    </row>
    <row r="40" spans="3:10">
      <c r="D40" s="87"/>
      <c r="E40" s="86"/>
      <c r="F40" s="86"/>
      <c r="G40" s="86"/>
      <c r="I40" s="62"/>
    </row>
    <row r="41" spans="3:10" ht="12" thickBot="1">
      <c r="D41" s="87"/>
      <c r="E41" s="86"/>
      <c r="F41" s="86"/>
      <c r="G41" s="86"/>
    </row>
    <row r="42" spans="3:10">
      <c r="C42" s="140"/>
      <c r="D42" s="141"/>
      <c r="E42" s="15"/>
      <c r="F42" s="15"/>
      <c r="G42" s="15"/>
      <c r="H42" s="15"/>
      <c r="I42" s="62"/>
      <c r="J42" s="64"/>
    </row>
    <row r="43" spans="3:10">
      <c r="D43" s="87"/>
      <c r="E43" s="86"/>
      <c r="F43" s="86"/>
      <c r="G43" s="86"/>
      <c r="I43" s="62"/>
    </row>
    <row r="44" spans="3:10">
      <c r="D44" s="87"/>
      <c r="E44" s="166"/>
      <c r="F44" s="146"/>
      <c r="G44" s="146"/>
      <c r="H44" s="146"/>
      <c r="I44" s="62"/>
    </row>
    <row r="45" spans="3:10">
      <c r="C45" s="139"/>
      <c r="D45" s="37"/>
      <c r="E45" s="162"/>
      <c r="F45" s="162"/>
      <c r="G45" s="162"/>
      <c r="I45" s="62"/>
    </row>
    <row r="46" spans="3:10" ht="12.5" thickBot="1">
      <c r="D46" s="17"/>
      <c r="E46" s="162"/>
      <c r="F46" s="162"/>
      <c r="G46" s="162"/>
      <c r="H46" s="110"/>
      <c r="I46" s="62"/>
    </row>
    <row r="47" spans="3:10">
      <c r="D47" s="46"/>
      <c r="E47" s="163"/>
      <c r="F47" s="164"/>
      <c r="G47" s="164"/>
      <c r="H47" s="85"/>
      <c r="I47" s="62"/>
    </row>
    <row r="48" spans="3:10" ht="12" thickBot="1">
      <c r="D48" s="87"/>
      <c r="E48" s="86"/>
      <c r="F48" s="86"/>
      <c r="G48" s="86"/>
      <c r="H48" s="85"/>
      <c r="I48" s="62"/>
    </row>
    <row r="49" spans="3:12" ht="12">
      <c r="D49" s="43"/>
      <c r="E49" s="34"/>
      <c r="F49" s="44"/>
      <c r="G49" s="44"/>
      <c r="I49" s="62"/>
    </row>
    <row r="50" spans="3:12">
      <c r="D50" s="119"/>
      <c r="E50" s="117"/>
      <c r="F50" s="147"/>
      <c r="G50" s="147"/>
      <c r="H50" s="147"/>
      <c r="I50" s="62"/>
    </row>
    <row r="51" spans="3:12" ht="12">
      <c r="D51" s="48"/>
      <c r="E51" s="34"/>
      <c r="F51" s="114"/>
      <c r="G51" s="115"/>
      <c r="H51" s="111"/>
      <c r="I51" s="62"/>
    </row>
    <row r="52" spans="3:12" ht="12">
      <c r="D52" s="49"/>
      <c r="E52" s="34"/>
      <c r="F52" s="38"/>
      <c r="G52" s="38"/>
      <c r="I52" s="62"/>
    </row>
    <row r="53" spans="3:12" ht="12">
      <c r="D53" s="49"/>
      <c r="E53" s="34"/>
      <c r="F53" s="38"/>
      <c r="G53" s="38"/>
      <c r="I53" s="62"/>
    </row>
    <row r="54" spans="3:12" ht="12">
      <c r="D54" s="49"/>
      <c r="E54" s="34"/>
      <c r="F54" s="38"/>
      <c r="G54" s="38"/>
      <c r="I54" s="62"/>
    </row>
    <row r="55" spans="3:12" ht="12">
      <c r="C55" s="7"/>
      <c r="D55" s="49"/>
      <c r="E55" s="34"/>
      <c r="F55" s="38"/>
      <c r="G55" s="38"/>
      <c r="H55" s="73"/>
      <c r="I55" s="62"/>
      <c r="J55" s="73"/>
      <c r="K55" s="73"/>
      <c r="L55" s="73"/>
    </row>
    <row r="56" spans="3:12" ht="12">
      <c r="C56" s="7"/>
      <c r="D56" s="49"/>
      <c r="E56" s="34"/>
      <c r="F56" s="38"/>
      <c r="G56" s="38"/>
      <c r="H56" s="19"/>
      <c r="I56" s="62"/>
      <c r="J56" s="19"/>
      <c r="K56" s="19"/>
      <c r="L56" s="19"/>
    </row>
    <row r="57" spans="3:12" ht="12">
      <c r="D57" s="49"/>
      <c r="E57" s="34"/>
      <c r="F57" s="38"/>
      <c r="G57" s="38"/>
    </row>
    <row r="58" spans="3:12">
      <c r="D58" s="90"/>
      <c r="E58" s="88"/>
      <c r="F58" s="88"/>
      <c r="G58" s="88"/>
    </row>
    <row r="59" spans="3:12">
      <c r="D59" s="51"/>
      <c r="E59" s="52"/>
      <c r="F59" s="52"/>
      <c r="G59" s="52"/>
      <c r="I59" s="62"/>
    </row>
    <row r="60" spans="3:12">
      <c r="D60" s="87"/>
      <c r="E60" s="86"/>
      <c r="F60" s="86"/>
      <c r="G60" s="86"/>
    </row>
    <row r="61" spans="3:12">
      <c r="D61" s="90"/>
      <c r="E61" s="88"/>
      <c r="F61" s="88"/>
      <c r="G61" s="88"/>
    </row>
    <row r="66" spans="6:6">
      <c r="F6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00A153C95980418AA423E7947DE130" ma:contentTypeVersion="22" ma:contentTypeDescription="Create a new document." ma:contentTypeScope="" ma:versionID="78038fad1dc9e1138a5b47c0a2dad02f">
  <xsd:schema xmlns:xsd="http://www.w3.org/2001/XMLSchema" xmlns:xs="http://www.w3.org/2001/XMLSchema" xmlns:p="http://schemas.microsoft.com/office/2006/metadata/properties" xmlns:ns1="http://schemas.microsoft.com/sharepoint/v3" xmlns:ns2="61a37b23-826a-4cb5-95c9-fb91e1714b61" xmlns:ns3="cde20612-e1c9-49cc-9b41-e801fb9f5e56" targetNamespace="http://schemas.microsoft.com/office/2006/metadata/properties" ma:root="true" ma:fieldsID="422bff4f8e162c6c48328e087820a1a2" ns1:_="" ns2:_="" ns3:_="">
    <xsd:import namespace="http://schemas.microsoft.com/sharepoint/v3"/>
    <xsd:import namespace="61a37b23-826a-4cb5-95c9-fb91e1714b61"/>
    <xsd:import namespace="cde20612-e1c9-49cc-9b41-e801fb9f5e56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37b23-826a-4cb5-95c9-fb91e1714b61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Sign-off status" ma:internalName="Sign_x002d_off_x0020_status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c04131-a3dd-48b1-9899-21c6397bba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e20612-e1c9-49cc-9b41-e801fb9f5e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c8df55-ef9d-4f1e-99a8-8bf9da096ffe}" ma:internalName="TaxCatchAll" ma:showField="CatchAllData" ma:web="cde20612-e1c9-49cc-9b41-e801fb9f5e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a37b23-826a-4cb5-95c9-fb91e1714b61">
      <Terms xmlns="http://schemas.microsoft.com/office/infopath/2007/PartnerControls"/>
    </lcf76f155ced4ddcb4097134ff3c332f>
    <TaxCatchAll xmlns="cde20612-e1c9-49cc-9b41-e801fb9f5e56" xsi:nil="true"/>
    <_Flow_SignoffStatus xmlns="61a37b23-826a-4cb5-95c9-fb91e1714b61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7677AFF-9FC1-4D4F-9413-F4A5C2D0B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a37b23-826a-4cb5-95c9-fb91e1714b61"/>
    <ds:schemaRef ds:uri="cde20612-e1c9-49cc-9b41-e801fb9f5e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F135F1-5A9C-4945-ADA7-74B7313EF9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5DEC96-FDDE-434A-8E2E-1BC8A14BBE5A}">
  <ds:schemaRefs>
    <ds:schemaRef ds:uri="cde20612-e1c9-49cc-9b41-e801fb9f5e56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61a37b23-826a-4cb5-95c9-fb91e1714b61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b9e9ed43-edf4-4755-925b-76f18f50dbe7}" enabled="0" method="" siteId="{b9e9ed43-edf4-4755-925b-76f18f50db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BG COMP BACI</vt:lpstr>
      <vt:lpstr>BG COMP BABF</vt:lpstr>
      <vt:lpstr>Cdr BABF</vt:lpstr>
      <vt:lpstr>Bilan BABF</vt:lpstr>
      <vt:lpstr>UPSLIDE_UndoFormatting</vt:lpstr>
      <vt:lpstr>UPSLIDE_Undo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Salamy Badele</dc:creator>
  <cp:keywords/>
  <dc:description/>
  <cp:lastModifiedBy>Georges-Alexandre Kakou</cp:lastModifiedBy>
  <cp:revision/>
  <dcterms:created xsi:type="dcterms:W3CDTF">2025-02-24T14:36:49Z</dcterms:created>
  <dcterms:modified xsi:type="dcterms:W3CDTF">2026-09-25T06:41:10Z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0x0101005A00A153C95980418AA423E7947DE130</vt:lpwstr>
  </property>
  <property fmtid="{D5CDD505-2E9C-101B-9397-08002B2CF9AE}" pid="4" name="UpSlide_7003478198096.243722[DESTINATION]">
    <vt:lpwstr>Powerpoint, 558</vt:lpwstr>
  </property>
  <property fmtid="{D5CDD505-2E9C-101B-9397-08002B2CF9AE}" pid="5" name="UpSlide_7003478198096.24372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" name="UpSlide_8718478198114.860427[DESTINATION]">
    <vt:lpwstr>Powerpoint, 530</vt:lpwstr>
  </property>
  <property fmtid="{D5CDD505-2E9C-101B-9397-08002B2CF9AE}" pid="7" name="UpSlide_8718478198114.860427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8" name="UpSlide_293478198148.736676[DESTINATION]">
    <vt:lpwstr>Powerpoint, 558</vt:lpwstr>
  </property>
  <property fmtid="{D5CDD505-2E9C-101B-9397-08002B2CF9AE}" pid="9" name="UpSlide_293478198148.73667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0" name="UpSlide_4193478198193.660055[DESTINATION]">
    <vt:lpwstr>Powerpoint, 558</vt:lpwstr>
  </property>
  <property fmtid="{D5CDD505-2E9C-101B-9397-08002B2CF9AE}" pid="11" name="UpSlide_4193478198193.66005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2" name="UpSlide_457478198221.691288[DESTINATION]">
    <vt:lpwstr>Powerpoint, 558</vt:lpwstr>
  </property>
  <property fmtid="{D5CDD505-2E9C-101B-9397-08002B2CF9AE}" pid="13" name="UpSlide_457478198221.69128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4" name="UpSlide_7330478198240.950581[DESTINATION]">
    <vt:lpwstr>Powerpoint, 559</vt:lpwstr>
  </property>
  <property fmtid="{D5CDD505-2E9C-101B-9397-08002B2CF9AE}" pid="15" name="UpSlide_7330478198240.95058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6" name="UpSlide_9535478198260.085703[DESTINATION]">
    <vt:lpwstr>Powerpoint, 558</vt:lpwstr>
  </property>
  <property fmtid="{D5CDD505-2E9C-101B-9397-08002B2CF9AE}" pid="17" name="UpSlide_9535478198260.08570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8" name="UpSlide_5417478200190.908279[DESTINATION]">
    <vt:lpwstr>Powerpoint, 522</vt:lpwstr>
  </property>
  <property fmtid="{D5CDD505-2E9C-101B-9397-08002B2CF9AE}" pid="19" name="UpSlide_5417478200190.908279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20" name="UpSlide_1938478200270.120527[DESTINATION]">
    <vt:lpwstr>Powerpoint, 508</vt:lpwstr>
  </property>
  <property fmtid="{D5CDD505-2E9C-101B-9397-08002B2CF9AE}" pid="21" name="UpSlide_1938478200270.120527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22" name="UpSlide_6496478200343.646655[DESTINATION]">
    <vt:lpwstr>Powerpoint, 522</vt:lpwstr>
  </property>
  <property fmtid="{D5CDD505-2E9C-101B-9397-08002B2CF9AE}" pid="23" name="UpSlide_6496478200343.646655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24" name="UpSlide_6454478200355.559811[DESTINATION]">
    <vt:lpwstr>Powerpoint, 522</vt:lpwstr>
  </property>
  <property fmtid="{D5CDD505-2E9C-101B-9397-08002B2CF9AE}" pid="25" name="UpSlide_6454478200355.559811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26" name="UpSlide_8506478200369.474273[DESTINATION]">
    <vt:lpwstr>Powerpoint, 522</vt:lpwstr>
  </property>
  <property fmtid="{D5CDD505-2E9C-101B-9397-08002B2CF9AE}" pid="27" name="UpSlide_8506478200369.474273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28" name="UpSlide_1810478200520.567104[DESTINATION]">
    <vt:lpwstr>Powerpoint, 534</vt:lpwstr>
  </property>
  <property fmtid="{D5CDD505-2E9C-101B-9397-08002B2CF9AE}" pid="29" name="UpSlide_1810478200520.567104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30" name="UpSlide_2987478207375.286901[DESTINATION]">
    <vt:lpwstr>Powerpoint, 527</vt:lpwstr>
  </property>
  <property fmtid="{D5CDD505-2E9C-101B-9397-08002B2CF9AE}" pid="31" name="UpSlide_2987478207375.286901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32" name="UpSlide_5284478207650.677451[DESTINATION]">
    <vt:lpwstr>Powerpoint, 527</vt:lpwstr>
  </property>
  <property fmtid="{D5CDD505-2E9C-101B-9397-08002B2CF9AE}" pid="33" name="UpSlide_5284478207650.677451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34" name="UpSlide_9555478207705.408964[DESTINATION]">
    <vt:lpwstr>Powerpoint, 527</vt:lpwstr>
  </property>
  <property fmtid="{D5CDD505-2E9C-101B-9397-08002B2CF9AE}" pid="35" name="UpSlide_9555478207705.408964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36" name="UpSlide_9665478207784.630029[DESTINATION]">
    <vt:lpwstr>Powerpoint, 527</vt:lpwstr>
  </property>
  <property fmtid="{D5CDD505-2E9C-101B-9397-08002B2CF9AE}" pid="37" name="UpSlide_9665478207784.630029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38" name="UpSlide_1806478208804.515027[DESTINATION]">
    <vt:lpwstr>Powerpoint, 527</vt:lpwstr>
  </property>
  <property fmtid="{D5CDD505-2E9C-101B-9397-08002B2CF9AE}" pid="39" name="UpSlide_1806478208804.515027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40" name="UpSlide_3707478208828.0463[DESTINATION]">
    <vt:lpwstr>Powerpoint, 527</vt:lpwstr>
  </property>
  <property fmtid="{D5CDD505-2E9C-101B-9397-08002B2CF9AE}" pid="41" name="UpSlide_3707478208828.0463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42" name="UpSlide_4363478208840.613434[DESTINATION]">
    <vt:lpwstr>Powerpoint, 527</vt:lpwstr>
  </property>
  <property fmtid="{D5CDD505-2E9C-101B-9397-08002B2CF9AE}" pid="43" name="UpSlide_4363478208840.613434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44" name="UpSlide_5790478209669.361472[DESTINATION]">
    <vt:lpwstr>Powerpoint, 527</vt:lpwstr>
  </property>
  <property fmtid="{D5CDD505-2E9C-101B-9397-08002B2CF9AE}" pid="45" name="UpSlide_5790478209669.361472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46" name="UpSlide_158478209858.567376[DESTINATION]">
    <vt:lpwstr>Powerpoint, 527</vt:lpwstr>
  </property>
  <property fmtid="{D5CDD505-2E9C-101B-9397-08002B2CF9AE}" pid="47" name="UpSlide_158478209858.567376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48" name="UpSlide_8405478209960.85185[DESTINATION]">
    <vt:lpwstr>Powerpoint, 527</vt:lpwstr>
  </property>
  <property fmtid="{D5CDD505-2E9C-101B-9397-08002B2CF9AE}" pid="49" name="UpSlide_8405478209960.85185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50" name="UpSlide_6657478210848.365375[DESTINATION]">
    <vt:lpwstr>Powerpoint, 558</vt:lpwstr>
  </property>
  <property fmtid="{D5CDD505-2E9C-101B-9397-08002B2CF9AE}" pid="51" name="UpSlide_6657478210848.36537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2" name="UpSlide_7173478211030.03449[DESTINATION]">
    <vt:lpwstr>Powerpoint, 530</vt:lpwstr>
  </property>
  <property fmtid="{D5CDD505-2E9C-101B-9397-08002B2CF9AE}" pid="53" name="UpSlide_7173478211030.03449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54" name="UpSlide_766478211062.117562[DESTINATION]">
    <vt:lpwstr>Powerpoint, 559</vt:lpwstr>
  </property>
  <property fmtid="{D5CDD505-2E9C-101B-9397-08002B2CF9AE}" pid="55" name="UpSlide_766478211062.11756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6" name="UpSlide_8609478211079.159227[DESTINATION]">
    <vt:lpwstr>Powerpoint, 558</vt:lpwstr>
  </property>
  <property fmtid="{D5CDD505-2E9C-101B-9397-08002B2CF9AE}" pid="57" name="UpSlide_8609478211079.15922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8" name="UpSlide_5766478211101.183089[DESTINATION]">
    <vt:lpwstr>Powerpoint, 530</vt:lpwstr>
  </property>
  <property fmtid="{D5CDD505-2E9C-101B-9397-08002B2CF9AE}" pid="59" name="UpSlide_5766478211101.183089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60" name="UpSlide_3007478211404.668633[DESTINATION]">
    <vt:lpwstr>Powerpoint, 558</vt:lpwstr>
  </property>
  <property fmtid="{D5CDD505-2E9C-101B-9397-08002B2CF9AE}" pid="61" name="UpSlide_3007478211404.66863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2" name="UpSlide_3852478211822.785199[DESTINATION]">
    <vt:lpwstr>Powerpoint, 558</vt:lpwstr>
  </property>
  <property fmtid="{D5CDD505-2E9C-101B-9397-08002B2CF9AE}" pid="63" name="UpSlide_3852478211822.78519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4" name="UpSlide_669478211832.280876[DESTINATION]">
    <vt:lpwstr>Powerpoint, 558</vt:lpwstr>
  </property>
  <property fmtid="{D5CDD505-2E9C-101B-9397-08002B2CF9AE}" pid="65" name="UpSlide_669478211832.28087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6" name="UpSlide_2107478212051.272959[DESTINATION]">
    <vt:lpwstr>Powerpoint, 522</vt:lpwstr>
  </property>
  <property fmtid="{D5CDD505-2E9C-101B-9397-08002B2CF9AE}" pid="67" name="UpSlide_2107478212051.272959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68" name="UpSlide_6744478212375.42829[DESTINATION]">
    <vt:lpwstr>Powerpoint, 560</vt:lpwstr>
  </property>
  <property fmtid="{D5CDD505-2E9C-101B-9397-08002B2CF9AE}" pid="69" name="UpSlide_6744478212375.4282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0" name="UpSlide_3886478212820.079718[DESTINATION]">
    <vt:lpwstr>Powerpoint, 522</vt:lpwstr>
  </property>
  <property fmtid="{D5CDD505-2E9C-101B-9397-08002B2CF9AE}" pid="71" name="UpSlide_3886478212820.079718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72" name="UpSlide_1594478213958.938281[DESTINATION]">
    <vt:lpwstr>Powerpoint, 534</vt:lpwstr>
  </property>
  <property fmtid="{D5CDD505-2E9C-101B-9397-08002B2CF9AE}" pid="73" name="UpSlide_1594478213958.938281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74" name="UpSlide_3209478214194.439979[DESTINATION]">
    <vt:lpwstr>Powerpoint, 539</vt:lpwstr>
  </property>
  <property fmtid="{D5CDD505-2E9C-101B-9397-08002B2CF9AE}" pid="75" name="UpSlide_3209478214194.439979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76" name="UpSlide_9428478214217.144455[DESTINATION]">
    <vt:lpwstr>Powerpoint, 540</vt:lpwstr>
  </property>
  <property fmtid="{D5CDD505-2E9C-101B-9397-08002B2CF9AE}" pid="77" name="UpSlide_9428478214217.144455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78" name="UpSlide_5490478214355.206692[DESTINATION]">
    <vt:lpwstr>Powerpoint, 544</vt:lpwstr>
  </property>
  <property fmtid="{D5CDD505-2E9C-101B-9397-08002B2CF9AE}" pid="79" name="UpSlide_5490478214355.206692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80" name="UpSlide_9501478214571.110419[DESTINATION]">
    <vt:lpwstr>Powerpoint, 545</vt:lpwstr>
  </property>
  <property fmtid="{D5CDD505-2E9C-101B-9397-08002B2CF9AE}" pid="81" name="UpSlide_9501478214571.110419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82" name="UpSlide_1479478214829.216204[DESTINATION]">
    <vt:lpwstr>Powerpoint, 544</vt:lpwstr>
  </property>
  <property fmtid="{D5CDD505-2E9C-101B-9397-08002B2CF9AE}" pid="83" name="UpSlide_1479478214829.216204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84" name="UpSlide_6967478214851.563361[DESTINATION]">
    <vt:lpwstr>Powerpoint, 544</vt:lpwstr>
  </property>
  <property fmtid="{D5CDD505-2E9C-101B-9397-08002B2CF9AE}" pid="85" name="UpSlide_6967478214851.563361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86" name="UpSlide_816478215150.749531[DESTINATION]">
    <vt:lpwstr>Powerpoint, 540</vt:lpwstr>
  </property>
  <property fmtid="{D5CDD505-2E9C-101B-9397-08002B2CF9AE}" pid="87" name="UpSlide_816478215150.749531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88" name="UpSlide_809478298212.450744[DESTINATION]">
    <vt:lpwstr>Powerpoint, 548</vt:lpwstr>
  </property>
  <property fmtid="{D5CDD505-2E9C-101B-9397-08002B2CF9AE}" pid="89" name="UpSlide_809478298212.450744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90" name="UpSlide_224478299612.296496[DESTINATION]">
    <vt:lpwstr>Powerpoint, 527</vt:lpwstr>
  </property>
  <property fmtid="{D5CDD505-2E9C-101B-9397-08002B2CF9AE}" pid="91" name="UpSlide_224478299612.296496[PATH]">
    <vt:lpwstr>https://mazarsglobalcloud.sharepoint.com/sites/CIV-FAS/Shared Documents/03 _ MISSIONS/VALUATION/PROJET LAGUNE/06 - Reports/Projet LAGUNE_Rapport de valorisation de LAGUNE ENERGIES SAS_Forvis Mazars V1.pptx</vt:lpwstr>
  </property>
  <property fmtid="{D5CDD505-2E9C-101B-9397-08002B2CF9AE}" pid="92" name="{A44787D4-0540-4523-9961-78E4036D8C6D}">
    <vt:lpwstr>{D59D4DC4-D588-42AE-9209-8C7207031CC6}</vt:lpwstr>
  </property>
  <property fmtid="{D5CDD505-2E9C-101B-9397-08002B2CF9AE}" pid="93" name="UpSlide_8663494528111.684101[DESTINATION]">
    <vt:lpwstr>Powerpoint, 534</vt:lpwstr>
  </property>
  <property fmtid="{D5CDD505-2E9C-101B-9397-08002B2CF9AE}" pid="94" name="UpSlide_8663494528111.684101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95" name="UpSlide_1809494528376.931816[DESTINATION]">
    <vt:lpwstr>Powerpoint, 534</vt:lpwstr>
  </property>
  <property fmtid="{D5CDD505-2E9C-101B-9397-08002B2CF9AE}" pid="96" name="UpSlide_1809494528376.931816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97" name="UpSlide_3234494528498.544112[DESTINATION]">
    <vt:lpwstr>Powerpoint, 522</vt:lpwstr>
  </property>
  <property fmtid="{D5CDD505-2E9C-101B-9397-08002B2CF9AE}" pid="98" name="UpSlide_3234494528498.544112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99" name="UpSlide_3271494528990.625316[DESTINATION]">
    <vt:lpwstr>Powerpoint, 527</vt:lpwstr>
  </property>
  <property fmtid="{D5CDD505-2E9C-101B-9397-08002B2CF9AE}" pid="100" name="UpSlide_3271494528990.625316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101" name="UpSlide_6780494529047.709146[DESTINATION]">
    <vt:lpwstr>Powerpoint, 527</vt:lpwstr>
  </property>
  <property fmtid="{D5CDD505-2E9C-101B-9397-08002B2CF9AE}" pid="102" name="UpSlide_6780494529047.709146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103" name="UpSlide_8386494529140.965133[DESTINATION]">
    <vt:lpwstr>Powerpoint, 527</vt:lpwstr>
  </property>
  <property fmtid="{D5CDD505-2E9C-101B-9397-08002B2CF9AE}" pid="104" name="UpSlide_8386494529140.965133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105" name="UpSlide_6631494529150.281296[DESTINATION]">
    <vt:lpwstr>Powerpoint, 527</vt:lpwstr>
  </property>
  <property fmtid="{D5CDD505-2E9C-101B-9397-08002B2CF9AE}" pid="106" name="UpSlide_6631494529150.281296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107" name="UpSlide_4260494529425.562189[DESTINATION]">
    <vt:lpwstr>Powerpoint, 527</vt:lpwstr>
  </property>
  <property fmtid="{D5CDD505-2E9C-101B-9397-08002B2CF9AE}" pid="108" name="UpSlide_4260494529425.562189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109" name="UpSlide_6076494529611.918554[DESTINATION]">
    <vt:lpwstr>Powerpoint, 548</vt:lpwstr>
  </property>
  <property fmtid="{D5CDD505-2E9C-101B-9397-08002B2CF9AE}" pid="110" name="UpSlide_6076494529611.918554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111" name="UpSlide_1953494529682.985729[DESTINATION]">
    <vt:lpwstr>Powerpoint, 548</vt:lpwstr>
  </property>
  <property fmtid="{D5CDD505-2E9C-101B-9397-08002B2CF9AE}" pid="112" name="UpSlide_1953494529682.985729[PATH]">
    <vt:lpwstr>https://mazarsglobalcloud.sharepoint.com/sites/CIV-FAS/Shared Documents/03 _ MISSIONS/VALUATION/BOX AFRICA/06 - Reports/Projet LAGUNE_Rapport de valorisation de LAGUNE ENERGIES SAS_Forvis Mazars V1.pptx</vt:lpwstr>
  </property>
  <property fmtid="{D5CDD505-2E9C-101B-9397-08002B2CF9AE}" pid="113" name="UpSlide_2392506868129.671965[DESTINATION]">
    <vt:lpwstr>Powerpoint, 568</vt:lpwstr>
  </property>
  <property fmtid="{D5CDD505-2E9C-101B-9397-08002B2CF9AE}" pid="114" name="UpSlide_2392506868129.67196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15" name="UpSlide_2176506868525.711347[DESTINATION]">
    <vt:lpwstr>Powerpoint, 527</vt:lpwstr>
  </property>
  <property fmtid="{D5CDD505-2E9C-101B-9397-08002B2CF9AE}" pid="116" name="UpSlide_2176506868525.71134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17" name="UpSlide_8866512331604.653706[DESTINATION]">
    <vt:lpwstr>Powerpoint, 527</vt:lpwstr>
  </property>
  <property fmtid="{D5CDD505-2E9C-101B-9397-08002B2CF9AE}" pid="118" name="UpSlide_8866512331604.65370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19" name="UpSlide_7592512332608.824245[DESTINATION]">
    <vt:lpwstr>Powerpoint, 560</vt:lpwstr>
  </property>
  <property fmtid="{D5CDD505-2E9C-101B-9397-08002B2CF9AE}" pid="120" name="UpSlide_7592512332608.82424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21" name="UpSlide_9202512332811.054819[DESTINATION]">
    <vt:lpwstr>Powerpoint, 522</vt:lpwstr>
  </property>
  <property fmtid="{D5CDD505-2E9C-101B-9397-08002B2CF9AE}" pid="122" name="UpSlide_9202512332811.05481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23" name="UpSlide_3496516889655.820331[DESTINATION]">
    <vt:lpwstr>Powerpoint, 527</vt:lpwstr>
  </property>
  <property fmtid="{D5CDD505-2E9C-101B-9397-08002B2CF9AE}" pid="124" name="UpSlide_3496516889655.82033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25" name="UpSlide_673516889670.681166[DESTINATION]">
    <vt:lpwstr>Powerpoint, 527</vt:lpwstr>
  </property>
  <property fmtid="{D5CDD505-2E9C-101B-9397-08002B2CF9AE}" pid="126" name="UpSlide_673516889670.68116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27" name="UpSlide_9029516889914.244347[DESTINATION]">
    <vt:lpwstr>Powerpoint, 527</vt:lpwstr>
  </property>
  <property fmtid="{D5CDD505-2E9C-101B-9397-08002B2CF9AE}" pid="128" name="UpSlide_9029516889914.24434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29" name="UpSlide_4730516907062.115422[DESTINATION]">
    <vt:lpwstr>Powerpoint, 527</vt:lpwstr>
  </property>
  <property fmtid="{D5CDD505-2E9C-101B-9397-08002B2CF9AE}" pid="130" name="UpSlide_4730516907062.11542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31" name="UpSlide_8805516907107.504565[DESTINATION]">
    <vt:lpwstr>Powerpoint, 527</vt:lpwstr>
  </property>
  <property fmtid="{D5CDD505-2E9C-101B-9397-08002B2CF9AE}" pid="132" name="UpSlide_8805516907107.50456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33" name="UpSlide_4773516907127.125507[DESTINATION]">
    <vt:lpwstr>Powerpoint, 527</vt:lpwstr>
  </property>
  <property fmtid="{D5CDD505-2E9C-101B-9397-08002B2CF9AE}" pid="134" name="UpSlide_4773516907127.12550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35" name="UpSlide_7076516907910.932892[DESTINATION]">
    <vt:lpwstr>Powerpoint, 527</vt:lpwstr>
  </property>
  <property fmtid="{D5CDD505-2E9C-101B-9397-08002B2CF9AE}" pid="136" name="UpSlide_7076516907910.93289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37" name="UpSlide_6958516908074.085159[DESTINATION]">
    <vt:lpwstr>Powerpoint, 527</vt:lpwstr>
  </property>
  <property fmtid="{D5CDD505-2E9C-101B-9397-08002B2CF9AE}" pid="138" name="UpSlide_6958516908074.08515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39" name="UpSlide_4084516908112.444742[DESTINATION]">
    <vt:lpwstr>Powerpoint, 527</vt:lpwstr>
  </property>
  <property fmtid="{D5CDD505-2E9C-101B-9397-08002B2CF9AE}" pid="140" name="UpSlide_4084516908112.44474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41" name="UpSlide_5813516908229.657044[DESTINATION]">
    <vt:lpwstr>Powerpoint, 527</vt:lpwstr>
  </property>
  <property fmtid="{D5CDD505-2E9C-101B-9397-08002B2CF9AE}" pid="142" name="UpSlide_5813516908229.65704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43" name="UpSlide_7738516908417.099769[DESTINATION]">
    <vt:lpwstr>Powerpoint, 527</vt:lpwstr>
  </property>
  <property fmtid="{D5CDD505-2E9C-101B-9397-08002B2CF9AE}" pid="144" name="UpSlide_7738516908417.09976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45" name="UpSlide_8687517073955.426621[DESTINATION]">
    <vt:lpwstr>Powerpoint, 553</vt:lpwstr>
  </property>
  <property fmtid="{D5CDD505-2E9C-101B-9397-08002B2CF9AE}" pid="146" name="UpSlide_8687517073955.42662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47" name="UpSlide_1598517074178.386274[DESTINATION]">
    <vt:lpwstr>Powerpoint, 552</vt:lpwstr>
  </property>
  <property fmtid="{D5CDD505-2E9C-101B-9397-08002B2CF9AE}" pid="148" name="UpSlide_1598517074178.38627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49" name="UpSlide_4730517074192.402358[DESTINATION]">
    <vt:lpwstr>Powerpoint, 552</vt:lpwstr>
  </property>
  <property fmtid="{D5CDD505-2E9C-101B-9397-08002B2CF9AE}" pid="150" name="UpSlide_4730517074192.40235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51" name="UpSlide_2650517074212.053891[DESTINATION]">
    <vt:lpwstr>Powerpoint, 552</vt:lpwstr>
  </property>
  <property fmtid="{D5CDD505-2E9C-101B-9397-08002B2CF9AE}" pid="152" name="UpSlide_2650517074212.05389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53" name="UpSlide_6389517074278.194629[DESTINATION]">
    <vt:lpwstr>Powerpoint, 552</vt:lpwstr>
  </property>
  <property fmtid="{D5CDD505-2E9C-101B-9397-08002B2CF9AE}" pid="154" name="UpSlide_6389517074278.19462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55" name="UpSlide_1757517074295.013454[DESTINATION]">
    <vt:lpwstr>Powerpoint, 552</vt:lpwstr>
  </property>
  <property fmtid="{D5CDD505-2E9C-101B-9397-08002B2CF9AE}" pid="156" name="UpSlide_1757517074295.01345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57" name="UpSlide_3583517074331.967265[DESTINATION]">
    <vt:lpwstr>Powerpoint, 552</vt:lpwstr>
  </property>
  <property fmtid="{D5CDD505-2E9C-101B-9397-08002B2CF9AE}" pid="158" name="UpSlide_3583517074331.96726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59" name="UpSlide_554517074347.869066[DESTINATION]">
    <vt:lpwstr>Powerpoint, 552</vt:lpwstr>
  </property>
  <property fmtid="{D5CDD505-2E9C-101B-9397-08002B2CF9AE}" pid="160" name="UpSlide_554517074347.86906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61" name="UpSlide_4921517074997.416643[DESTINATION]">
    <vt:lpwstr>Powerpoint, 553</vt:lpwstr>
  </property>
  <property fmtid="{D5CDD505-2E9C-101B-9397-08002B2CF9AE}" pid="162" name="UpSlide_4921517074997.41664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63" name="UpSlide_7704517075010.509155[DESTINATION]">
    <vt:lpwstr>Powerpoint, 553</vt:lpwstr>
  </property>
  <property fmtid="{D5CDD505-2E9C-101B-9397-08002B2CF9AE}" pid="164" name="UpSlide_7704517075010.50915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65" name="UpSlide_6771517075044.449219[DESTINATION]">
    <vt:lpwstr>Powerpoint, 553</vt:lpwstr>
  </property>
  <property fmtid="{D5CDD505-2E9C-101B-9397-08002B2CF9AE}" pid="166" name="UpSlide_6771517075044.44921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67" name="UpSlide_2250517075079.590307[DESTINATION]">
    <vt:lpwstr>Powerpoint, 553</vt:lpwstr>
  </property>
  <property fmtid="{D5CDD505-2E9C-101B-9397-08002B2CF9AE}" pid="168" name="UpSlide_2250517075079.59030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69" name="UpSlide_6701517075091.140143[DESTINATION]">
    <vt:lpwstr>Powerpoint, 553</vt:lpwstr>
  </property>
  <property fmtid="{D5CDD505-2E9C-101B-9397-08002B2CF9AE}" pid="170" name="UpSlide_6701517075091.14014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71" name="UpSlide_4177517075130.442673[DESTINATION]">
    <vt:lpwstr>Powerpoint, 553</vt:lpwstr>
  </property>
  <property fmtid="{D5CDD505-2E9C-101B-9397-08002B2CF9AE}" pid="172" name="UpSlide_4177517075130.44267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73" name="UpSlide_5620517075151.938873[DESTINATION]">
    <vt:lpwstr>Powerpoint, 553</vt:lpwstr>
  </property>
  <property fmtid="{D5CDD505-2E9C-101B-9397-08002B2CF9AE}" pid="174" name="UpSlide_5620517075151.93887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75" name="UpSlide_1955517075226.237756[DESTINATION]">
    <vt:lpwstr>Powerpoint, 553</vt:lpwstr>
  </property>
  <property fmtid="{D5CDD505-2E9C-101B-9397-08002B2CF9AE}" pid="176" name="UpSlide_1955517075226.23775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77" name="UpSlide_815517075261.243605[DESTINATION]">
    <vt:lpwstr>Powerpoint, 553</vt:lpwstr>
  </property>
  <property fmtid="{D5CDD505-2E9C-101B-9397-08002B2CF9AE}" pid="178" name="UpSlide_815517075261.24360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79" name="UpSlide_9028517075272.07248[DESTINATION]">
    <vt:lpwstr>Powerpoint, 553</vt:lpwstr>
  </property>
  <property fmtid="{D5CDD505-2E9C-101B-9397-08002B2CF9AE}" pid="180" name="UpSlide_9028517075272.0724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81" name="UpSlide_8114517075284.039571[DESTINATION]">
    <vt:lpwstr>Powerpoint, 553</vt:lpwstr>
  </property>
  <property fmtid="{D5CDD505-2E9C-101B-9397-08002B2CF9AE}" pid="182" name="UpSlide_8114517075284.03957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83" name="UpSlide_3986517075321.832261[DESTINATION]">
    <vt:lpwstr>Powerpoint, 553</vt:lpwstr>
  </property>
  <property fmtid="{D5CDD505-2E9C-101B-9397-08002B2CF9AE}" pid="184" name="UpSlide_3986517075321.83226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85" name="UpSlide_7947517075332.874456[DESTINATION]">
    <vt:lpwstr>Powerpoint, 553</vt:lpwstr>
  </property>
  <property fmtid="{D5CDD505-2E9C-101B-9397-08002B2CF9AE}" pid="186" name="UpSlide_7947517075332.87445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87" name="UpSlide_8670517075359.641968[DESTINATION]">
    <vt:lpwstr>Powerpoint, 553</vt:lpwstr>
  </property>
  <property fmtid="{D5CDD505-2E9C-101B-9397-08002B2CF9AE}" pid="188" name="UpSlide_8670517075359.64196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89" name="UpSlide_5052517075377.179674[DESTINATION]">
    <vt:lpwstr>Powerpoint, 553</vt:lpwstr>
  </property>
  <property fmtid="{D5CDD505-2E9C-101B-9397-08002B2CF9AE}" pid="190" name="UpSlide_5052517075377.17967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91" name="UpSlide_9803517075429.194158[DESTINATION]">
    <vt:lpwstr>Powerpoint, 552</vt:lpwstr>
  </property>
  <property fmtid="{D5CDD505-2E9C-101B-9397-08002B2CF9AE}" pid="192" name="UpSlide_9803517075429.19415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93" name="UpSlide_5084517075452.597555[DESTINATION]">
    <vt:lpwstr>Powerpoint, 552</vt:lpwstr>
  </property>
  <property fmtid="{D5CDD505-2E9C-101B-9397-08002B2CF9AE}" pid="194" name="UpSlide_5084517075452.59755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95" name="UpSlide_5173517075462.044651[DESTINATION]">
    <vt:lpwstr>Powerpoint, 552</vt:lpwstr>
  </property>
  <property fmtid="{D5CDD505-2E9C-101B-9397-08002B2CF9AE}" pid="196" name="UpSlide_5173517075462.04465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97" name="UpSlide_2432517075589.712295[DESTINATION]">
    <vt:lpwstr>Powerpoint, 556</vt:lpwstr>
  </property>
  <property fmtid="{D5CDD505-2E9C-101B-9397-08002B2CF9AE}" pid="198" name="UpSlide_2432517075589.71229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199" name="UpSlide_1650517075612.845106[DESTINATION]">
    <vt:lpwstr>Powerpoint, 556</vt:lpwstr>
  </property>
  <property fmtid="{D5CDD505-2E9C-101B-9397-08002B2CF9AE}" pid="200" name="UpSlide_1650517075612.84510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01" name="UpSlide_7041517075639.733352[DESTINATION]">
    <vt:lpwstr>Powerpoint, 556</vt:lpwstr>
  </property>
  <property fmtid="{D5CDD505-2E9C-101B-9397-08002B2CF9AE}" pid="202" name="UpSlide_7041517075639.73335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03" name="UpSlide_392517075657.144188[DESTINATION]">
    <vt:lpwstr>Powerpoint, 556</vt:lpwstr>
  </property>
  <property fmtid="{D5CDD505-2E9C-101B-9397-08002B2CF9AE}" pid="204" name="UpSlide_392517075657.14418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05" name="UpSlide_3982517075673.195674[DESTINATION]">
    <vt:lpwstr>Powerpoint, 556</vt:lpwstr>
  </property>
  <property fmtid="{D5CDD505-2E9C-101B-9397-08002B2CF9AE}" pid="206" name="UpSlide_3982517075673.19567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07" name="UpSlide_1637517075975.781123[DESTINATION]">
    <vt:lpwstr>Powerpoint, 567</vt:lpwstr>
  </property>
  <property fmtid="{D5CDD505-2E9C-101B-9397-08002B2CF9AE}" pid="208" name="UpSlide_1637517075975.78112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09" name="UpSlide_708517078405.567299[DESTINATION]">
    <vt:lpwstr>Powerpoint, 552</vt:lpwstr>
  </property>
  <property fmtid="{D5CDD505-2E9C-101B-9397-08002B2CF9AE}" pid="210" name="UpSlide_708517078405.56729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11" name="UpSlide_7382517078552.091699[DESTINATION]">
    <vt:lpwstr>Powerpoint, 556</vt:lpwstr>
  </property>
  <property fmtid="{D5CDD505-2E9C-101B-9397-08002B2CF9AE}" pid="212" name="UpSlide_7382517078552.09169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13" name="UpSlide_3382517078570.1919[DESTINATION]">
    <vt:lpwstr>Powerpoint, 556</vt:lpwstr>
  </property>
  <property fmtid="{D5CDD505-2E9C-101B-9397-08002B2CF9AE}" pid="214" name="UpSlide_3382517078570.191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15" name="UpSlide_2261517078583.208557[DESTINATION]">
    <vt:lpwstr>Powerpoint, 556</vt:lpwstr>
  </property>
  <property fmtid="{D5CDD505-2E9C-101B-9397-08002B2CF9AE}" pid="216" name="UpSlide_2261517078583.20855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17" name="UpSlide_7446517078625.977573[DESTINATION]">
    <vt:lpwstr>Powerpoint, 556</vt:lpwstr>
  </property>
  <property fmtid="{D5CDD505-2E9C-101B-9397-08002B2CF9AE}" pid="218" name="UpSlide_7446517078625.97757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19" name="UpSlide_9807517492650.282923[DESTINATION]">
    <vt:lpwstr>Powerpoint, 567</vt:lpwstr>
  </property>
  <property fmtid="{D5CDD505-2E9C-101B-9397-08002B2CF9AE}" pid="220" name="UpSlide_9807517492650.28292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21" name="UpSlide_5828517492662.444376[DESTINATION]">
    <vt:lpwstr>Powerpoint, 567</vt:lpwstr>
  </property>
  <property fmtid="{D5CDD505-2E9C-101B-9397-08002B2CF9AE}" pid="222" name="UpSlide_5828517492662.44437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23" name="UpSlide_8863517492679.794466[DESTINATION]">
    <vt:lpwstr>Powerpoint, 567</vt:lpwstr>
  </property>
  <property fmtid="{D5CDD505-2E9C-101B-9397-08002B2CF9AE}" pid="224" name="UpSlide_8863517492679.79446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25" name="UpSlide_3620517492702.988917[DESTINATION]">
    <vt:lpwstr>Powerpoint, 567</vt:lpwstr>
  </property>
  <property fmtid="{D5CDD505-2E9C-101B-9397-08002B2CF9AE}" pid="226" name="UpSlide_3620517492702.98891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27" name="UpSlide_4965517492727.825904[DESTINATION]">
    <vt:lpwstr>Powerpoint, 569</vt:lpwstr>
  </property>
  <property fmtid="{D5CDD505-2E9C-101B-9397-08002B2CF9AE}" pid="228" name="UpSlide_4965517492727.82590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29" name="UpSlide_6852517492883.533741[DESTINATION]">
    <vt:lpwstr>Powerpoint, 567</vt:lpwstr>
  </property>
  <property fmtid="{D5CDD505-2E9C-101B-9397-08002B2CF9AE}" pid="230" name="UpSlide_6852517492883.53374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31" name="UpSlide_1634517495894.646922[DESTINATION]">
    <vt:lpwstr>Powerpoint, 567</vt:lpwstr>
  </property>
  <property fmtid="{D5CDD505-2E9C-101B-9397-08002B2CF9AE}" pid="232" name="UpSlide_1634517495894.64692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33" name="UpSlide_4551517495936.12806[DESTINATION]">
    <vt:lpwstr>Powerpoint, 567</vt:lpwstr>
  </property>
  <property fmtid="{D5CDD505-2E9C-101B-9397-08002B2CF9AE}" pid="234" name="UpSlide_4551517495936.1280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35" name="UpSlide_1164517495963.899955[DESTINATION]">
    <vt:lpwstr>Powerpoint, 567</vt:lpwstr>
  </property>
  <property fmtid="{D5CDD505-2E9C-101B-9397-08002B2CF9AE}" pid="236" name="UpSlide_1164517495963.89995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37" name="UpSlide_8944517495998.79259[DESTINATION]">
    <vt:lpwstr>Powerpoint, 567</vt:lpwstr>
  </property>
  <property fmtid="{D5CDD505-2E9C-101B-9397-08002B2CF9AE}" pid="238" name="UpSlide_8944517495998.7925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39" name="UpSlide_2141517496163.661286[DESTINATION]">
    <vt:lpwstr>Powerpoint, 568</vt:lpwstr>
  </property>
  <property fmtid="{D5CDD505-2E9C-101B-9397-08002B2CF9AE}" pid="240" name="UpSlide_2141517496163.66128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41" name="UpSlide_3081517496179.007029[DESTINATION]">
    <vt:lpwstr>Powerpoint, 568</vt:lpwstr>
  </property>
  <property fmtid="{D5CDD505-2E9C-101B-9397-08002B2CF9AE}" pid="242" name="UpSlide_3081517496179.00702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43" name="UpSlide_1187517496203.567146[DESTINATION]">
    <vt:lpwstr>Powerpoint, 568</vt:lpwstr>
  </property>
  <property fmtid="{D5CDD505-2E9C-101B-9397-08002B2CF9AE}" pid="244" name="UpSlide_1187517496203.56714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45" name="UpSlide_7723517496304.466344[DESTINATION]">
    <vt:lpwstr>Powerpoint, 568</vt:lpwstr>
  </property>
  <property fmtid="{D5CDD505-2E9C-101B-9397-08002B2CF9AE}" pid="246" name="UpSlide_7723517496304.46634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47" name="UpSlide_2755517496342.011264[DESTINATION]">
    <vt:lpwstr>Powerpoint, 568</vt:lpwstr>
  </property>
  <property fmtid="{D5CDD505-2E9C-101B-9397-08002B2CF9AE}" pid="248" name="UpSlide_2755517496342.01126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49" name="UpSlide_5927517496557.645938[DESTINATION]">
    <vt:lpwstr>Powerpoint, 568</vt:lpwstr>
  </property>
  <property fmtid="{D5CDD505-2E9C-101B-9397-08002B2CF9AE}" pid="250" name="UpSlide_5927517496557.64593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51" name="UpSlide_4459517496585.759668[DESTINATION]">
    <vt:lpwstr>Powerpoint, 568</vt:lpwstr>
  </property>
  <property fmtid="{D5CDD505-2E9C-101B-9397-08002B2CF9AE}" pid="252" name="UpSlide_4459517496585.75966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53" name="UpSlide_6537517496626.984311[DESTINATION]">
    <vt:lpwstr>Powerpoint, 568</vt:lpwstr>
  </property>
  <property fmtid="{D5CDD505-2E9C-101B-9397-08002B2CF9AE}" pid="254" name="UpSlide_6537517496626.98431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55" name="UpSlide_8889517497063.587978[DESTINATION]">
    <vt:lpwstr>Powerpoint, 568</vt:lpwstr>
  </property>
  <property fmtid="{D5CDD505-2E9C-101B-9397-08002B2CF9AE}" pid="256" name="UpSlide_8889517497063.58797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57" name="UpSlide_1784517497173.103787[DESTINATION]">
    <vt:lpwstr>Powerpoint, 568</vt:lpwstr>
  </property>
  <property fmtid="{D5CDD505-2E9C-101B-9397-08002B2CF9AE}" pid="258" name="UpSlide_1784517497173.10378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59" name="UpSlide_5288517497196.934483[DESTINATION]">
    <vt:lpwstr>Powerpoint, 568</vt:lpwstr>
  </property>
  <property fmtid="{D5CDD505-2E9C-101B-9397-08002B2CF9AE}" pid="260" name="UpSlide_5288517497196.93448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61" name="UpSlide_7973517497213.348083[DESTINATION]">
    <vt:lpwstr>Powerpoint, 568</vt:lpwstr>
  </property>
  <property fmtid="{D5CDD505-2E9C-101B-9397-08002B2CF9AE}" pid="262" name="UpSlide_7973517497213.34808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63" name="UpSlide_4437517497497.510967[DESTINATION]">
    <vt:lpwstr>Powerpoint, 568</vt:lpwstr>
  </property>
  <property fmtid="{D5CDD505-2E9C-101B-9397-08002B2CF9AE}" pid="264" name="UpSlide_4437517497497.51096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65" name="UpSlide_4515517497516.15961[DESTINATION]">
    <vt:lpwstr>Powerpoint, 568</vt:lpwstr>
  </property>
  <property fmtid="{D5CDD505-2E9C-101B-9397-08002B2CF9AE}" pid="266" name="UpSlide_4515517497516.1596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67" name="UpSlide_1247517497534.624629[DESTINATION]">
    <vt:lpwstr>Powerpoint, 568</vt:lpwstr>
  </property>
  <property fmtid="{D5CDD505-2E9C-101B-9397-08002B2CF9AE}" pid="268" name="UpSlide_1247517497534.62462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69" name="UpSlide_2262517497996.870793[DESTINATION]">
    <vt:lpwstr>Powerpoint, 569</vt:lpwstr>
  </property>
  <property fmtid="{D5CDD505-2E9C-101B-9397-08002B2CF9AE}" pid="270" name="UpSlide_2262517497996.87079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71" name="UpSlide_5471517498627.643174[DESTINATION]">
    <vt:lpwstr>Powerpoint, 569</vt:lpwstr>
  </property>
  <property fmtid="{D5CDD505-2E9C-101B-9397-08002B2CF9AE}" pid="272" name="UpSlide_5471517498627.64317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73" name="UpSlide_8965517498969.551563[DESTINATION]">
    <vt:lpwstr>Powerpoint, 569</vt:lpwstr>
  </property>
  <property fmtid="{D5CDD505-2E9C-101B-9397-08002B2CF9AE}" pid="274" name="UpSlide_8965517498969.55156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75" name="UpSlide_7825517499004.546329[DESTINATION]">
    <vt:lpwstr>Powerpoint, 569</vt:lpwstr>
  </property>
  <property fmtid="{D5CDD505-2E9C-101B-9397-08002B2CF9AE}" pid="276" name="UpSlide_7825517499004.54632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77" name="UpSlide_3991517499341.20996[DESTINATION]">
    <vt:lpwstr>Powerpoint, 569</vt:lpwstr>
  </property>
  <property fmtid="{D5CDD505-2E9C-101B-9397-08002B2CF9AE}" pid="278" name="UpSlide_3991517499341.2099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79" name="UpSlide_7882517499397.725679[DESTINATION]">
    <vt:lpwstr>Powerpoint, 569</vt:lpwstr>
  </property>
  <property fmtid="{D5CDD505-2E9C-101B-9397-08002B2CF9AE}" pid="280" name="UpSlide_7882517499397.72567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81" name="UpSlide_6488517499412.417629[DESTINATION]">
    <vt:lpwstr>Powerpoint, 569</vt:lpwstr>
  </property>
  <property fmtid="{D5CDD505-2E9C-101B-9397-08002B2CF9AE}" pid="282" name="UpSlide_6488517499412.41762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83" name="UpSlide_3714517499464.671442[DESTINATION]">
    <vt:lpwstr>Powerpoint, 569</vt:lpwstr>
  </property>
  <property fmtid="{D5CDD505-2E9C-101B-9397-08002B2CF9AE}" pid="284" name="UpSlide_3714517499464.67144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85" name="UpSlide_5128517500194.822576[DESTINATION]">
    <vt:lpwstr>Powerpoint, 569</vt:lpwstr>
  </property>
  <property fmtid="{D5CDD505-2E9C-101B-9397-08002B2CF9AE}" pid="286" name="UpSlide_5128517500194.82257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87" name="UpSlide_4635517500330.907142[DESTINATION]">
    <vt:lpwstr>Powerpoint, 569</vt:lpwstr>
  </property>
  <property fmtid="{D5CDD505-2E9C-101B-9397-08002B2CF9AE}" pid="288" name="UpSlide_4635517500330.90714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89" name="UpSlide_7351517501633.880763[DESTINATION]">
    <vt:lpwstr>Powerpoint, 568</vt:lpwstr>
  </property>
  <property fmtid="{D5CDD505-2E9C-101B-9397-08002B2CF9AE}" pid="290" name="UpSlide_7351517501633.88076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91" name="UpSlide_5381517501657.026126[DESTINATION]">
    <vt:lpwstr>Powerpoint, 568</vt:lpwstr>
  </property>
  <property fmtid="{D5CDD505-2E9C-101B-9397-08002B2CF9AE}" pid="292" name="UpSlide_5381517501657.02612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93" name="UpSlide_9954517501691.343133[DESTINATION]">
    <vt:lpwstr>Powerpoint, 568</vt:lpwstr>
  </property>
  <property fmtid="{D5CDD505-2E9C-101B-9397-08002B2CF9AE}" pid="294" name="UpSlide_9954517501691.34313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95" name="UpSlide_1334517641223.063987[DESTINATION]">
    <vt:lpwstr>Powerpoint, 530</vt:lpwstr>
  </property>
  <property fmtid="{D5CDD505-2E9C-101B-9397-08002B2CF9AE}" pid="296" name="UpSlide_1334517641223.06398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97" name="UpSlide_4148517641234.619779[DESTINATION]">
    <vt:lpwstr>Powerpoint, 530</vt:lpwstr>
  </property>
  <property fmtid="{D5CDD505-2E9C-101B-9397-08002B2CF9AE}" pid="298" name="UpSlide_4148517641234.61977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299" name="UpSlide_8209517641795.597788[DESTINATION]">
    <vt:lpwstr>Powerpoint, 543</vt:lpwstr>
  </property>
  <property fmtid="{D5CDD505-2E9C-101B-9397-08002B2CF9AE}" pid="300" name="UpSlide_8209517641795.59778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01" name="UpSlide_1446517642545.46224[DESTINATION]">
    <vt:lpwstr>Powerpoint, 522</vt:lpwstr>
  </property>
  <property fmtid="{D5CDD505-2E9C-101B-9397-08002B2CF9AE}" pid="302" name="UpSlide_1446517642545.4622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03" name="UpSlide_3215517642557.811897[DESTINATION]">
    <vt:lpwstr>Powerpoint, 522</vt:lpwstr>
  </property>
  <property fmtid="{D5CDD505-2E9C-101B-9397-08002B2CF9AE}" pid="304" name="UpSlide_3215517642557.81189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05" name="UpSlide_6914517642574.961563[DESTINATION]">
    <vt:lpwstr>Powerpoint, 522</vt:lpwstr>
  </property>
  <property fmtid="{D5CDD505-2E9C-101B-9397-08002B2CF9AE}" pid="306" name="UpSlide_6914517642574.96156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07" name="UpSlide_8311517642960.908672[DESTINATION]">
    <vt:lpwstr>Powerpoint, 527</vt:lpwstr>
  </property>
  <property fmtid="{D5CDD505-2E9C-101B-9397-08002B2CF9AE}" pid="308" name="UpSlide_8311517642960.90867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09" name="UpSlide_8832517643328.480279[DESTINATION]">
    <vt:lpwstr>Powerpoint, 527</vt:lpwstr>
  </property>
  <property fmtid="{D5CDD505-2E9C-101B-9397-08002B2CF9AE}" pid="310" name="UpSlide_8832517643328.48027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11" name="UpSlide_8967517643586.456951[DESTINATION]">
    <vt:lpwstr>Powerpoint, 557</vt:lpwstr>
  </property>
  <property fmtid="{D5CDD505-2E9C-101B-9397-08002B2CF9AE}" pid="312" name="UpSlide_8967517643586.45695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13" name="UpSlide_5744517643625.080657[DESTINATION]">
    <vt:lpwstr>Powerpoint, 557</vt:lpwstr>
  </property>
  <property fmtid="{D5CDD505-2E9C-101B-9397-08002B2CF9AE}" pid="314" name="UpSlide_5744517643625.08065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15" name="UpSlide_7820517643649.080097[DESTINATION]">
    <vt:lpwstr>Powerpoint, 557</vt:lpwstr>
  </property>
  <property fmtid="{D5CDD505-2E9C-101B-9397-08002B2CF9AE}" pid="316" name="UpSlide_7820517643649.08009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17" name="UpSlide_6573517643775.934171[DESTINATION]">
    <vt:lpwstr>Powerpoint, 557</vt:lpwstr>
  </property>
  <property fmtid="{D5CDD505-2E9C-101B-9397-08002B2CF9AE}" pid="318" name="UpSlide_6573517643775.93417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19" name="UpSlide_5384517643850.466932[DESTINATION]">
    <vt:lpwstr>Powerpoint, 557</vt:lpwstr>
  </property>
  <property fmtid="{D5CDD505-2E9C-101B-9397-08002B2CF9AE}" pid="320" name="UpSlide_5384517643850.46693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21" name="UpSlide_5135517643863.422206[DESTINATION]">
    <vt:lpwstr>Powerpoint, 557</vt:lpwstr>
  </property>
  <property fmtid="{D5CDD505-2E9C-101B-9397-08002B2CF9AE}" pid="322" name="UpSlide_5135517643863.42220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23" name="UpSlide_9467517646246.802412[DESTINATION]">
    <vt:lpwstr>Powerpoint, 557</vt:lpwstr>
  </property>
  <property fmtid="{D5CDD505-2E9C-101B-9397-08002B2CF9AE}" pid="324" name="UpSlide_9467517646246.80241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25" name="UpSlide_4900517646260.587625[DESTINATION]">
    <vt:lpwstr>Powerpoint, 557</vt:lpwstr>
  </property>
  <property fmtid="{D5CDD505-2E9C-101B-9397-08002B2CF9AE}" pid="326" name="UpSlide_4900517646260.58762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27" name="UpSlide_7922517646272.299553[DESTINATION]">
    <vt:lpwstr>Powerpoint, 557</vt:lpwstr>
  </property>
  <property fmtid="{D5CDD505-2E9C-101B-9397-08002B2CF9AE}" pid="328" name="UpSlide_7922517646272.29955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29" name="UpSlide_5216517646338.755635[DESTINATION]">
    <vt:lpwstr>Powerpoint, 557</vt:lpwstr>
  </property>
  <property fmtid="{D5CDD505-2E9C-101B-9397-08002B2CF9AE}" pid="330" name="UpSlide_5216517646338.75563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31" name="UpSlide_8995517646376.937114[DESTINATION]">
    <vt:lpwstr>Powerpoint, 557</vt:lpwstr>
  </property>
  <property fmtid="{D5CDD505-2E9C-101B-9397-08002B2CF9AE}" pid="332" name="UpSlide_8995517646376.93711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33" name="UpSlide_9251517646413.286372[DESTINATION]">
    <vt:lpwstr>Powerpoint, 557</vt:lpwstr>
  </property>
  <property fmtid="{D5CDD505-2E9C-101B-9397-08002B2CF9AE}" pid="334" name="UpSlide_9251517646413.28637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35" name="UpSlide_6662517646454.403165[DESTINATION]">
    <vt:lpwstr>Powerpoint, 557</vt:lpwstr>
  </property>
  <property fmtid="{D5CDD505-2E9C-101B-9397-08002B2CF9AE}" pid="336" name="UpSlide_6662517646454.40316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37" name="UpSlide_1804517646569.967303[DESTINATION]">
    <vt:lpwstr>Powerpoint, 557</vt:lpwstr>
  </property>
  <property fmtid="{D5CDD505-2E9C-101B-9397-08002B2CF9AE}" pid="338" name="UpSlide_1804517646569.96730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39" name="UpSlide_1189517646621.198288[DESTINATION]">
    <vt:lpwstr>Powerpoint, 559</vt:lpwstr>
  </property>
  <property fmtid="{D5CDD505-2E9C-101B-9397-08002B2CF9AE}" pid="340" name="UpSlide_1189517646621.19828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41" name="UpSlide_9047517646736.840487[DESTINATION]">
    <vt:lpwstr>Powerpoint, 558</vt:lpwstr>
  </property>
  <property fmtid="{D5CDD505-2E9C-101B-9397-08002B2CF9AE}" pid="342" name="UpSlide_9047517646736.84048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43" name="UpSlide_8896517646747.663109[DESTINATION]">
    <vt:lpwstr>Powerpoint, 558</vt:lpwstr>
  </property>
  <property fmtid="{D5CDD505-2E9C-101B-9397-08002B2CF9AE}" pid="344" name="UpSlide_8896517646747.66310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45" name="UpSlide_2954517647368.316174[DESTINATION]">
    <vt:lpwstr>Powerpoint, 560</vt:lpwstr>
  </property>
  <property fmtid="{D5CDD505-2E9C-101B-9397-08002B2CF9AE}" pid="346" name="UpSlide_2954517647368.31617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47" name="UpSlide_7088517647378.606055[DESTINATION]">
    <vt:lpwstr>Powerpoint, 560</vt:lpwstr>
  </property>
  <property fmtid="{D5CDD505-2E9C-101B-9397-08002B2CF9AE}" pid="348" name="UpSlide_7088517647378.60605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49" name="UpSlide_841517647389.487647[DESTINATION]">
    <vt:lpwstr>Powerpoint, 560</vt:lpwstr>
  </property>
  <property fmtid="{D5CDD505-2E9C-101B-9397-08002B2CF9AE}" pid="350" name="UpSlide_841517647389.48764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51" name="UpSlide_8542517659681.0044[DESTINATION]">
    <vt:lpwstr>Powerpoint, 567</vt:lpwstr>
  </property>
  <property fmtid="{D5CDD505-2E9C-101B-9397-08002B2CF9AE}" pid="352" name="UpSlide_8542517659681.0044[PATH]">
    <vt:lpwstr>https://mazarsglobalcloud.sharepoint.com/sites/CIV-FAS/Shared Documents/03 _ MISSIONS/VALUATION/BOX AFRICA/06 - Reports/Box Africa CI_Rapport valorisation_Forvis Mazars V1.pptx</vt:lpwstr>
  </property>
  <property fmtid="{D5CDD505-2E9C-101B-9397-08002B2CF9AE}" pid="353" name="UpSlide_185517660572.829064[DESTINATION]">
    <vt:lpwstr>Powerpoint, 567</vt:lpwstr>
  </property>
  <property fmtid="{D5CDD505-2E9C-101B-9397-08002B2CF9AE}" pid="354" name="UpSlide_185517660572.82906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55" name="UpSlide_3420517661843.93015[DESTINATION]">
    <vt:lpwstr>Powerpoint, 552</vt:lpwstr>
  </property>
  <property fmtid="{D5CDD505-2E9C-101B-9397-08002B2CF9AE}" pid="356" name="UpSlide_3420517661843.9301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57" name="UpSlide_5191517661872.317703[DESTINATION]">
    <vt:lpwstr>Powerpoint, 578</vt:lpwstr>
  </property>
  <property fmtid="{D5CDD505-2E9C-101B-9397-08002B2CF9AE}" pid="358" name="UpSlide_5191517661872.31770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59" name="UpSlide_1032517668863.920357[DESTINATION]">
    <vt:lpwstr>Powerpoint, 530</vt:lpwstr>
  </property>
  <property fmtid="{D5CDD505-2E9C-101B-9397-08002B2CF9AE}" pid="360" name="UpSlide_1032517668863.92035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61" name="UpSlide_8575517668917.420186[DESTINATION]">
    <vt:lpwstr>Powerpoint, 558</vt:lpwstr>
  </property>
  <property fmtid="{D5CDD505-2E9C-101B-9397-08002B2CF9AE}" pid="362" name="UpSlide_8575517668917.42018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63" name="UpSlide_2180517746672.12753[DESTINATION]">
    <vt:lpwstr>Powerpoint, 553</vt:lpwstr>
  </property>
  <property fmtid="{D5CDD505-2E9C-101B-9397-08002B2CF9AE}" pid="364" name="UpSlide_2180517746672.1275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65" name="UpSlide_3176518002129.211379[DESTINATION]">
    <vt:lpwstr>Powerpoint, 553</vt:lpwstr>
  </property>
  <property fmtid="{D5CDD505-2E9C-101B-9397-08002B2CF9AE}" pid="366" name="UpSlide_3176518002129.21137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67" name="UpSlide_4038518613778.64828[DESTINATION]">
    <vt:lpwstr>Powerpoint, 530</vt:lpwstr>
  </property>
  <property fmtid="{D5CDD505-2E9C-101B-9397-08002B2CF9AE}" pid="368" name="UpSlide_4038518613778.6482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69" name="UpSlide_9832518613799.009808[DESTINATION]">
    <vt:lpwstr>Powerpoint, 543</vt:lpwstr>
  </property>
  <property fmtid="{D5CDD505-2E9C-101B-9397-08002B2CF9AE}" pid="370" name="UpSlide_9832518613799.00980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71" name="UpSlide_4392518613812.862389[DESTINATION]">
    <vt:lpwstr>Powerpoint, 530</vt:lpwstr>
  </property>
  <property fmtid="{D5CDD505-2E9C-101B-9397-08002B2CF9AE}" pid="372" name="UpSlide_4392518613812.86238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73" name="UpSlide_9159518613824.453089[DESTINATION]">
    <vt:lpwstr>Powerpoint, 530</vt:lpwstr>
  </property>
  <property fmtid="{D5CDD505-2E9C-101B-9397-08002B2CF9AE}" pid="374" name="UpSlide_9159518613824.45308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75" name="UpSlide_7624518613839.559946[DESTINATION]">
    <vt:lpwstr>Powerpoint, 543</vt:lpwstr>
  </property>
  <property fmtid="{D5CDD505-2E9C-101B-9397-08002B2CF9AE}" pid="376" name="UpSlide_7624518613839.55994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77" name="UpSlide_9611518613855.312843[DESTINATION]">
    <vt:lpwstr>Powerpoint, 530</vt:lpwstr>
  </property>
  <property fmtid="{D5CDD505-2E9C-101B-9397-08002B2CF9AE}" pid="378" name="UpSlide_9611518613855.31284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79" name="UpSlide_3014518613865.244515[DESTINATION]">
    <vt:lpwstr>Powerpoint, 530</vt:lpwstr>
  </property>
  <property fmtid="{D5CDD505-2E9C-101B-9397-08002B2CF9AE}" pid="380" name="UpSlide_3014518613865.24451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81" name="UpSlide_9925518614224.006269[DESTINATION]">
    <vt:lpwstr>Powerpoint, 530</vt:lpwstr>
  </property>
  <property fmtid="{D5CDD505-2E9C-101B-9397-08002B2CF9AE}" pid="382" name="UpSlide_9925518614224.00626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83" name="UpSlide_5860518614243.947935[DESTINATION]">
    <vt:lpwstr>Powerpoint, 530</vt:lpwstr>
  </property>
  <property fmtid="{D5CDD505-2E9C-101B-9397-08002B2CF9AE}" pid="384" name="UpSlide_5860518614243.94793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85" name="UpSlide_9779518614266.880512[DESTINATION]">
    <vt:lpwstr>Powerpoint, 530</vt:lpwstr>
  </property>
  <property fmtid="{D5CDD505-2E9C-101B-9397-08002B2CF9AE}" pid="386" name="UpSlide_9779518614266.88051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87" name="UpSlide_2510518614303.462394[DESTINATION]">
    <vt:lpwstr>Powerpoint, 530</vt:lpwstr>
  </property>
  <property fmtid="{D5CDD505-2E9C-101B-9397-08002B2CF9AE}" pid="388" name="UpSlide_2510518614303.46239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89" name="UpSlide_582518614313.509096[DESTINATION]">
    <vt:lpwstr>Powerpoint, 530</vt:lpwstr>
  </property>
  <property fmtid="{D5CDD505-2E9C-101B-9397-08002B2CF9AE}" pid="390" name="UpSlide_582518614313.50909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91" name="UpSlide_3746518614326.015638[DESTINATION]">
    <vt:lpwstr>Powerpoint, 549</vt:lpwstr>
  </property>
  <property fmtid="{D5CDD505-2E9C-101B-9397-08002B2CF9AE}" pid="392" name="UpSlide_3746518614326.01563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93" name="UpSlide_8920518614593.89919[DESTINATION]">
    <vt:lpwstr>Powerpoint, 522</vt:lpwstr>
  </property>
  <property fmtid="{D5CDD505-2E9C-101B-9397-08002B2CF9AE}" pid="394" name="UpSlide_8920518614593.8991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95" name="UpSlide_543518615569.787705[DESTINATION]">
    <vt:lpwstr>Powerpoint, 552</vt:lpwstr>
  </property>
  <property fmtid="{D5CDD505-2E9C-101B-9397-08002B2CF9AE}" pid="396" name="UpSlide_543518615569.78770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97" name="UpSlide_7025518615678.123278[DESTINATION]">
    <vt:lpwstr>Powerpoint, 552</vt:lpwstr>
  </property>
  <property fmtid="{D5CDD505-2E9C-101B-9397-08002B2CF9AE}" pid="398" name="UpSlide_7025518615678.12327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399" name="UpSlide_8686518615703.024312[DESTINATION]">
    <vt:lpwstr>Powerpoint, 552</vt:lpwstr>
  </property>
  <property fmtid="{D5CDD505-2E9C-101B-9397-08002B2CF9AE}" pid="400" name="UpSlide_8686518615703.02431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01" name="UpSlide_5348518615768.176466[DESTINATION]">
    <vt:lpwstr>Powerpoint, 556</vt:lpwstr>
  </property>
  <property fmtid="{D5CDD505-2E9C-101B-9397-08002B2CF9AE}" pid="402" name="UpSlide_5348518615768.17646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03" name="UpSlide_1435518615778.512793[DESTINATION]">
    <vt:lpwstr>Powerpoint, 556</vt:lpwstr>
  </property>
  <property fmtid="{D5CDD505-2E9C-101B-9397-08002B2CF9AE}" pid="404" name="UpSlide_1435518615778.51279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05" name="UpSlide_694518615789.745125[DESTINATION]">
    <vt:lpwstr>Powerpoint, 556</vt:lpwstr>
  </property>
  <property fmtid="{D5CDD505-2E9C-101B-9397-08002B2CF9AE}" pid="406" name="UpSlide_694518615789.74512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07" name="UpSlide_9508518615804.594089[DESTINATION]">
    <vt:lpwstr>Powerpoint, 556</vt:lpwstr>
  </property>
  <property fmtid="{D5CDD505-2E9C-101B-9397-08002B2CF9AE}" pid="408" name="UpSlide_9508518615804.59408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09" name="UpSlide_3472518617519.135416[DESTINATION]">
    <vt:lpwstr>Powerpoint, 552</vt:lpwstr>
  </property>
  <property fmtid="{D5CDD505-2E9C-101B-9397-08002B2CF9AE}" pid="410" name="UpSlide_3472518617519.13541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11" name="UpSlide_1601518617554.975681[DESTINATION]">
    <vt:lpwstr>Powerpoint, 552</vt:lpwstr>
  </property>
  <property fmtid="{D5CDD505-2E9C-101B-9397-08002B2CF9AE}" pid="412" name="UpSlide_1601518617554.97568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13" name="UpSlide_2487518617576.593036[DESTINATION]">
    <vt:lpwstr>Powerpoint, 552</vt:lpwstr>
  </property>
  <property fmtid="{D5CDD505-2E9C-101B-9397-08002B2CF9AE}" pid="414" name="UpSlide_2487518617576.59303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15" name="UpSlide_8302518617589.792024[DESTINATION]">
    <vt:lpwstr>Powerpoint, 552</vt:lpwstr>
  </property>
  <property fmtid="{D5CDD505-2E9C-101B-9397-08002B2CF9AE}" pid="416" name="UpSlide_8302518617589.79202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17" name="UpSlide_301518617611.189005[DESTINATION]">
    <vt:lpwstr>Powerpoint, 552</vt:lpwstr>
  </property>
  <property fmtid="{D5CDD505-2E9C-101B-9397-08002B2CF9AE}" pid="418" name="UpSlide_301518617611.18900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19" name="UpSlide_9908518617913.829675[DESTINATION]">
    <vt:lpwstr>Powerpoint, 553</vt:lpwstr>
  </property>
  <property fmtid="{D5CDD505-2E9C-101B-9397-08002B2CF9AE}" pid="420" name="UpSlide_9908518617913.82967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21" name="UpSlide_3388518617927.585467[DESTINATION]">
    <vt:lpwstr>Powerpoint, 553</vt:lpwstr>
  </property>
  <property fmtid="{D5CDD505-2E9C-101B-9397-08002B2CF9AE}" pid="422" name="UpSlide_3388518617927.58546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23" name="UpSlide_4394518617941.095792[DESTINATION]">
    <vt:lpwstr>Powerpoint, 553</vt:lpwstr>
  </property>
  <property fmtid="{D5CDD505-2E9C-101B-9397-08002B2CF9AE}" pid="424" name="UpSlide_4394518617941.09579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25" name="UpSlide_1446518617992.878298[DESTINATION]">
    <vt:lpwstr>Powerpoint, 553</vt:lpwstr>
  </property>
  <property fmtid="{D5CDD505-2E9C-101B-9397-08002B2CF9AE}" pid="426" name="UpSlide_1446518617992.87829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27" name="UpSlide_5080518618013.045473[DESTINATION]">
    <vt:lpwstr>Powerpoint, 553</vt:lpwstr>
  </property>
  <property fmtid="{D5CDD505-2E9C-101B-9397-08002B2CF9AE}" pid="428" name="UpSlide_5080518618013.04547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29" name="UpSlide_9356518618407.531586[DESTINATION]">
    <vt:lpwstr>Powerpoint, 553</vt:lpwstr>
  </property>
  <property fmtid="{D5CDD505-2E9C-101B-9397-08002B2CF9AE}" pid="430" name="UpSlide_9356518618407.53158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31" name="UpSlide_5374518618464.55227[DESTINATION]">
    <vt:lpwstr>Powerpoint, 553</vt:lpwstr>
  </property>
  <property fmtid="{D5CDD505-2E9C-101B-9397-08002B2CF9AE}" pid="432" name="UpSlide_5374518618464.5522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33" name="UpSlide_704518618602.25764[DESTINATION]">
    <vt:lpwstr>Powerpoint, 553</vt:lpwstr>
  </property>
  <property fmtid="{D5CDD505-2E9C-101B-9397-08002B2CF9AE}" pid="434" name="UpSlide_704518618602.2576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35" name="UpSlide_8878518618871.793259[DESTINATION]">
    <vt:lpwstr>Powerpoint, 553</vt:lpwstr>
  </property>
  <property fmtid="{D5CDD505-2E9C-101B-9397-08002B2CF9AE}" pid="436" name="UpSlide_8878518618871.79325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37" name="UpSlide_3875518618893.626157[DESTINATION]">
    <vt:lpwstr>Powerpoint, 553</vt:lpwstr>
  </property>
  <property fmtid="{D5CDD505-2E9C-101B-9397-08002B2CF9AE}" pid="438" name="UpSlide_3875518618893.62615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39" name="UpSlide_8208518618914.475816[DESTINATION]">
    <vt:lpwstr>Powerpoint, 553</vt:lpwstr>
  </property>
  <property fmtid="{D5CDD505-2E9C-101B-9397-08002B2CF9AE}" pid="440" name="UpSlide_8208518618914.47581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41" name="UpSlide_9131518619428.167646[DESTINATION]">
    <vt:lpwstr>Powerpoint, 553</vt:lpwstr>
  </property>
  <property fmtid="{D5CDD505-2E9C-101B-9397-08002B2CF9AE}" pid="442" name="UpSlide_9131518619428.16764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43" name="UpSlide_5535518619440.94225[DESTINATION]">
    <vt:lpwstr>Powerpoint, 553</vt:lpwstr>
  </property>
  <property fmtid="{D5CDD505-2E9C-101B-9397-08002B2CF9AE}" pid="444" name="UpSlide_5535518619440.9422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45" name="UpSlide_8488518619575.0702[DESTINATION]">
    <vt:lpwstr>Powerpoint, 553</vt:lpwstr>
  </property>
  <property fmtid="{D5CDD505-2E9C-101B-9397-08002B2CF9AE}" pid="446" name="UpSlide_8488518619575.070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47" name="UpSlide_9918518619590.92801[DESTINATION]">
    <vt:lpwstr>Powerpoint, 553</vt:lpwstr>
  </property>
  <property fmtid="{D5CDD505-2E9C-101B-9397-08002B2CF9AE}" pid="448" name="UpSlide_9918518619590.9280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49" name="UpSlide_3491518623067.283937[DESTINATION]">
    <vt:lpwstr>Powerpoint, 556</vt:lpwstr>
  </property>
  <property fmtid="{D5CDD505-2E9C-101B-9397-08002B2CF9AE}" pid="450" name="UpSlide_3491518623067.28393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51" name="UpSlide_1639518623079.937052[DESTINATION]">
    <vt:lpwstr>Powerpoint, 556</vt:lpwstr>
  </property>
  <property fmtid="{D5CDD505-2E9C-101B-9397-08002B2CF9AE}" pid="452" name="UpSlide_1639518623079.93705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53" name="UpSlide_7785518623132.094642[DESTINATION]">
    <vt:lpwstr>Powerpoint, 556</vt:lpwstr>
  </property>
  <property fmtid="{D5CDD505-2E9C-101B-9397-08002B2CF9AE}" pid="454" name="UpSlide_7785518623132.09464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55" name="UpSlide_9349518623161.532129[DESTINATION]">
    <vt:lpwstr>Powerpoint, 556</vt:lpwstr>
  </property>
  <property fmtid="{D5CDD505-2E9C-101B-9397-08002B2CF9AE}" pid="456" name="UpSlide_9349518623161.53212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57" name="UpSlide_7457518623202.126215[DESTINATION]">
    <vt:lpwstr>Powerpoint, 556</vt:lpwstr>
  </property>
  <property fmtid="{D5CDD505-2E9C-101B-9397-08002B2CF9AE}" pid="458" name="UpSlide_7457518623202.12621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59" name="UpSlide_3381518623217.626968[DESTINATION]">
    <vt:lpwstr>Powerpoint, 556</vt:lpwstr>
  </property>
  <property fmtid="{D5CDD505-2E9C-101B-9397-08002B2CF9AE}" pid="460" name="UpSlide_3381518623217.62696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61" name="UpSlide_6939518623235.191335[DESTINATION]">
    <vt:lpwstr>Powerpoint, 556</vt:lpwstr>
  </property>
  <property fmtid="{D5CDD505-2E9C-101B-9397-08002B2CF9AE}" pid="462" name="UpSlide_6939518623235.19133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63" name="UpSlide_969518623429.079769[DESTINATION]">
    <vt:lpwstr>Powerpoint, 522</vt:lpwstr>
  </property>
  <property fmtid="{D5CDD505-2E9C-101B-9397-08002B2CF9AE}" pid="464" name="UpSlide_969518623429.07976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65" name="UpSlide_8135518623516.42768[DESTINATION]">
    <vt:lpwstr>Powerpoint, 522</vt:lpwstr>
  </property>
  <property fmtid="{D5CDD505-2E9C-101B-9397-08002B2CF9AE}" pid="466" name="UpSlide_8135518623516.4276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67" name="UpSlide_2171518623528.857702[DESTINATION]">
    <vt:lpwstr>Powerpoint, 522</vt:lpwstr>
  </property>
  <property fmtid="{D5CDD505-2E9C-101B-9397-08002B2CF9AE}" pid="468" name="UpSlide_2171518623528.85770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69" name="UpSlide_3733518623542.262791[DESTINATION]">
    <vt:lpwstr>Powerpoint, 522</vt:lpwstr>
  </property>
  <property fmtid="{D5CDD505-2E9C-101B-9397-08002B2CF9AE}" pid="470" name="UpSlide_3733518623542.26279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71" name="UpSlide_7293518623728.50338[DESTINATION]">
    <vt:lpwstr>Powerpoint, 527</vt:lpwstr>
  </property>
  <property fmtid="{D5CDD505-2E9C-101B-9397-08002B2CF9AE}" pid="472" name="UpSlide_7293518623728.5033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73" name="UpSlide_5366518623754.586455[DESTINATION]">
    <vt:lpwstr>Powerpoint, 527</vt:lpwstr>
  </property>
  <property fmtid="{D5CDD505-2E9C-101B-9397-08002B2CF9AE}" pid="474" name="UpSlide_5366518623754.58645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75" name="UpSlide_7724518623765.319246[DESTINATION]">
    <vt:lpwstr>Powerpoint, 527</vt:lpwstr>
  </property>
  <property fmtid="{D5CDD505-2E9C-101B-9397-08002B2CF9AE}" pid="476" name="UpSlide_7724518623765.31924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77" name="UpSlide_572518623776.56976[DESTINATION]">
    <vt:lpwstr>Powerpoint, 527</vt:lpwstr>
  </property>
  <property fmtid="{D5CDD505-2E9C-101B-9397-08002B2CF9AE}" pid="478" name="UpSlide_572518623776.5697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79" name="UpSlide_2407518623801.918443[DESTINATION]">
    <vt:lpwstr>Powerpoint, 527</vt:lpwstr>
  </property>
  <property fmtid="{D5CDD505-2E9C-101B-9397-08002B2CF9AE}" pid="480" name="UpSlide_2407518623801.91844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81" name="UpSlide_6858518623813.468171[DESTINATION]">
    <vt:lpwstr>Powerpoint, 527</vt:lpwstr>
  </property>
  <property fmtid="{D5CDD505-2E9C-101B-9397-08002B2CF9AE}" pid="482" name="UpSlide_6858518623813.46817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83" name="UpSlide_8670518623828.759842[DESTINATION]">
    <vt:lpwstr>Powerpoint, 527</vt:lpwstr>
  </property>
  <property fmtid="{D5CDD505-2E9C-101B-9397-08002B2CF9AE}" pid="484" name="UpSlide_8670518623828.75984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85" name="UpSlide_8859518623850.88693[DESTINATION]">
    <vt:lpwstr>Powerpoint, 527</vt:lpwstr>
  </property>
  <property fmtid="{D5CDD505-2E9C-101B-9397-08002B2CF9AE}" pid="486" name="UpSlide_8859518623850.8869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87" name="UpSlide_3496518623867.355001[DESTINATION]">
    <vt:lpwstr>Powerpoint, 527</vt:lpwstr>
  </property>
  <property fmtid="{D5CDD505-2E9C-101B-9397-08002B2CF9AE}" pid="488" name="UpSlide_3496518623867.35500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89" name="UpSlide_6355518623883.034323[DESTINATION]">
    <vt:lpwstr>Powerpoint, 527</vt:lpwstr>
  </property>
  <property fmtid="{D5CDD505-2E9C-101B-9397-08002B2CF9AE}" pid="490" name="UpSlide_6355518623883.03432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91" name="UpSlide_253518623988.852131[DESTINATION]">
    <vt:lpwstr>Powerpoint, 558</vt:lpwstr>
  </property>
  <property fmtid="{D5CDD505-2E9C-101B-9397-08002B2CF9AE}" pid="492" name="UpSlide_253518623988.85213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93" name="UpSlide_4225518624004.31087[DESTINATION]">
    <vt:lpwstr>Powerpoint, 559</vt:lpwstr>
  </property>
  <property fmtid="{D5CDD505-2E9C-101B-9397-08002B2CF9AE}" pid="494" name="UpSlide_4225518624004.3108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95" name="UpSlide_6509518624043.303131[DESTINATION]">
    <vt:lpwstr>Powerpoint, 558</vt:lpwstr>
  </property>
  <property fmtid="{D5CDD505-2E9C-101B-9397-08002B2CF9AE}" pid="496" name="UpSlide_6509518624043.30313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97" name="UpSlide_7994518624052.904423[DESTINATION]">
    <vt:lpwstr>Powerpoint, 558</vt:lpwstr>
  </property>
  <property fmtid="{D5CDD505-2E9C-101B-9397-08002B2CF9AE}" pid="498" name="UpSlide_7994518624052.90442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499" name="UpSlide_7810518624064.020676[DESTINATION]">
    <vt:lpwstr>Powerpoint, 559</vt:lpwstr>
  </property>
  <property fmtid="{D5CDD505-2E9C-101B-9397-08002B2CF9AE}" pid="500" name="UpSlide_7810518624064.02067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01" name="UpSlide_4476518624084.321823[DESTINATION]">
    <vt:lpwstr>Powerpoint, 558</vt:lpwstr>
  </property>
  <property fmtid="{D5CDD505-2E9C-101B-9397-08002B2CF9AE}" pid="502" name="UpSlide_4476518624084.32182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03" name="UpSlide_4599518624107.096306[DESTINATION]">
    <vt:lpwstr>Powerpoint, 558</vt:lpwstr>
  </property>
  <property fmtid="{D5CDD505-2E9C-101B-9397-08002B2CF9AE}" pid="504" name="UpSlide_4599518624107.09630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05" name="UpSlide_8178518624118.706338[DESTINATION]">
    <vt:lpwstr>Powerpoint, 558</vt:lpwstr>
  </property>
  <property fmtid="{D5CDD505-2E9C-101B-9397-08002B2CF9AE}" pid="506" name="UpSlide_8178518624118.70633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07" name="UpSlide_9315518624143.39091[DESTINATION]">
    <vt:lpwstr>Powerpoint, 558</vt:lpwstr>
  </property>
  <property fmtid="{D5CDD505-2E9C-101B-9397-08002B2CF9AE}" pid="508" name="UpSlide_9315518624143.3909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09" name="UpSlide_7540518624159.86269[DESTINATION]">
    <vt:lpwstr>Powerpoint, 558</vt:lpwstr>
  </property>
  <property fmtid="{D5CDD505-2E9C-101B-9397-08002B2CF9AE}" pid="510" name="UpSlide_7540518624159.8626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11" name="UpSlide_4276518624210.393516[DESTINATION]">
    <vt:lpwstr>Powerpoint, 558</vt:lpwstr>
  </property>
  <property fmtid="{D5CDD505-2E9C-101B-9397-08002B2CF9AE}" pid="512" name="UpSlide_4276518624210.39351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13" name="UpSlide_9108518624221.362128[DESTINATION]">
    <vt:lpwstr>Powerpoint, 558</vt:lpwstr>
  </property>
  <property fmtid="{D5CDD505-2E9C-101B-9397-08002B2CF9AE}" pid="514" name="UpSlide_9108518624221.36212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15" name="UpSlide_5576518624231.115685[DESTINATION]">
    <vt:lpwstr>Powerpoint, 558</vt:lpwstr>
  </property>
  <property fmtid="{D5CDD505-2E9C-101B-9397-08002B2CF9AE}" pid="516" name="UpSlide_5576518624231.11568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17" name="UpSlide_60518624241.144752[DESTINATION]">
    <vt:lpwstr>Powerpoint, 549</vt:lpwstr>
  </property>
  <property fmtid="{D5CDD505-2E9C-101B-9397-08002B2CF9AE}" pid="518" name="UpSlide_60518624241.14475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19" name="UpSlide_3243518624308.580211[DESTINATION]">
    <vt:lpwstr>Powerpoint, 559</vt:lpwstr>
  </property>
  <property fmtid="{D5CDD505-2E9C-101B-9397-08002B2CF9AE}" pid="520" name="UpSlide_3243518624308.58021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21" name="UpSlide_7992518624343.364084[DESTINATION]">
    <vt:lpwstr>Powerpoint, 560</vt:lpwstr>
  </property>
  <property fmtid="{D5CDD505-2E9C-101B-9397-08002B2CF9AE}" pid="522" name="UpSlide_7992518624343.36408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23" name="UpSlide_8444518625217.98352[DESTINATION]">
    <vt:lpwstr>Powerpoint, 560</vt:lpwstr>
  </property>
  <property fmtid="{D5CDD505-2E9C-101B-9397-08002B2CF9AE}" pid="524" name="UpSlide_8444518625217.9835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25" name="UpSlide_2215518625282.590042[DESTINATION]">
    <vt:lpwstr>Powerpoint, 560</vt:lpwstr>
  </property>
  <property fmtid="{D5CDD505-2E9C-101B-9397-08002B2CF9AE}" pid="526" name="UpSlide_2215518625282.59004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27" name="UpSlide_5619518625292.523434[DESTINATION]">
    <vt:lpwstr>Powerpoint, 560</vt:lpwstr>
  </property>
  <property fmtid="{D5CDD505-2E9C-101B-9397-08002B2CF9AE}" pid="528" name="UpSlide_5619518625292.52343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29" name="UpSlide_4291518625306.590999[DESTINATION]">
    <vt:lpwstr>Powerpoint, 560</vt:lpwstr>
  </property>
  <property fmtid="{D5CDD505-2E9C-101B-9397-08002B2CF9AE}" pid="530" name="UpSlide_4291518625306.59099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31" name="UpSlide_8006518625515.268519[DESTINATION]">
    <vt:lpwstr>Powerpoint, 575</vt:lpwstr>
  </property>
  <property fmtid="{D5CDD505-2E9C-101B-9397-08002B2CF9AE}" pid="532" name="UpSlide_8006518625515.26851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33" name="UpSlide_3083518625556.940389[DESTINATION]">
    <vt:lpwstr>Powerpoint, 557</vt:lpwstr>
  </property>
  <property fmtid="{D5CDD505-2E9C-101B-9397-08002B2CF9AE}" pid="534" name="UpSlide_3083518625556.94038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35" name="UpSlide_9056518625609.836016[DESTINATION]">
    <vt:lpwstr>Powerpoint, 557</vt:lpwstr>
  </property>
  <property fmtid="{D5CDD505-2E9C-101B-9397-08002B2CF9AE}" pid="536" name="UpSlide_9056518625609.83601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37" name="UpSlide_5187518625624.283582[DESTINATION]">
    <vt:lpwstr>Powerpoint, 557</vt:lpwstr>
  </property>
  <property fmtid="{D5CDD505-2E9C-101B-9397-08002B2CF9AE}" pid="538" name="UpSlide_5187518625624.28358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39" name="UpSlide_282518625642.782706[DESTINATION]">
    <vt:lpwstr>Powerpoint, 557</vt:lpwstr>
  </property>
  <property fmtid="{D5CDD505-2E9C-101B-9397-08002B2CF9AE}" pid="540" name="UpSlide_282518625642.78270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41" name="UpSlide_5696518625679.748636[DESTINATION]">
    <vt:lpwstr>Powerpoint, 557</vt:lpwstr>
  </property>
  <property fmtid="{D5CDD505-2E9C-101B-9397-08002B2CF9AE}" pid="542" name="UpSlide_5696518625679.74863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43" name="UpSlide_180518625690.973817[DESTINATION]">
    <vt:lpwstr>Powerpoint, 557</vt:lpwstr>
  </property>
  <property fmtid="{D5CDD505-2E9C-101B-9397-08002B2CF9AE}" pid="544" name="UpSlide_180518625690.97381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45" name="UpSlide_3935518625717.880887[DESTINATION]">
    <vt:lpwstr>Powerpoint, 557</vt:lpwstr>
  </property>
  <property fmtid="{D5CDD505-2E9C-101B-9397-08002B2CF9AE}" pid="546" name="UpSlide_3935518625717.88088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47" name="UpSlide_4449518625729.680598[DESTINATION]">
    <vt:lpwstr>Powerpoint, 557</vt:lpwstr>
  </property>
  <property fmtid="{D5CDD505-2E9C-101B-9397-08002B2CF9AE}" pid="548" name="UpSlide_4449518625729.68059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49" name="UpSlide_6043518625740.363726[DESTINATION]">
    <vt:lpwstr>Powerpoint, 557</vt:lpwstr>
  </property>
  <property fmtid="{D5CDD505-2E9C-101B-9397-08002B2CF9AE}" pid="550" name="UpSlide_6043518625740.36372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51" name="UpSlide_2141518625756.333425[DESTINATION]">
    <vt:lpwstr>Powerpoint, 557</vt:lpwstr>
  </property>
  <property fmtid="{D5CDD505-2E9C-101B-9397-08002B2CF9AE}" pid="552" name="UpSlide_2141518625756.33342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53" name="UpSlide_5317518625774.485747[DESTINATION]">
    <vt:lpwstr>Powerpoint, 557</vt:lpwstr>
  </property>
  <property fmtid="{D5CDD505-2E9C-101B-9397-08002B2CF9AE}" pid="554" name="UpSlide_5317518625774.48574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55" name="UpSlide_6913518625801.195845[DESTINATION]">
    <vt:lpwstr>Powerpoint, 557</vt:lpwstr>
  </property>
  <property fmtid="{D5CDD505-2E9C-101B-9397-08002B2CF9AE}" pid="556" name="UpSlide_6913518625801.19584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57" name="UpSlide_5789518630293.729111[DESTINATION]">
    <vt:lpwstr>Powerpoint, 567</vt:lpwstr>
  </property>
  <property fmtid="{D5CDD505-2E9C-101B-9397-08002B2CF9AE}" pid="558" name="UpSlide_5789518630293.729111[PATH]">
    <vt:lpwstr>https://mazarsglobalcloud.sharepoint.com/sites/CIV-FAS/Shared Documents/03 _ MISSIONS/VALUATION/BOX AFRICA/06 - Reports/Box Africa CI_Rapport valorisation_Forvis Mazars V1.pptx</vt:lpwstr>
  </property>
  <property fmtid="{D5CDD505-2E9C-101B-9397-08002B2CF9AE}" pid="559" name="UpSlide_2608518630319.254505[DESTINATION]">
    <vt:lpwstr>Powerpoint, 567</vt:lpwstr>
  </property>
  <property fmtid="{D5CDD505-2E9C-101B-9397-08002B2CF9AE}" pid="560" name="UpSlide_2608518630319.25450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61" name="UpSlide_1454518630332.581365[DESTINATION]">
    <vt:lpwstr>Powerpoint, 567</vt:lpwstr>
  </property>
  <property fmtid="{D5CDD505-2E9C-101B-9397-08002B2CF9AE}" pid="562" name="UpSlide_1454518630332.58136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63" name="UpSlide_3087518630392.257542[DESTINATION]">
    <vt:lpwstr>Powerpoint, 567</vt:lpwstr>
  </property>
  <property fmtid="{D5CDD505-2E9C-101B-9397-08002B2CF9AE}" pid="564" name="UpSlide_3087518630392.25754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65" name="UpSlide_4447518631282.530041[DESTINATION]">
    <vt:lpwstr>Powerpoint, 567</vt:lpwstr>
  </property>
  <property fmtid="{D5CDD505-2E9C-101B-9397-08002B2CF9AE}" pid="566" name="UpSlide_4447518631282.53004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67" name="UpSlide_5723518631354.072605[DESTINATION]">
    <vt:lpwstr>Powerpoint, 567</vt:lpwstr>
  </property>
  <property fmtid="{D5CDD505-2E9C-101B-9397-08002B2CF9AE}" pid="568" name="UpSlide_5723518631354.07260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69" name="UpSlide_7437518631371.494399[DESTINATION]">
    <vt:lpwstr>Powerpoint, 567</vt:lpwstr>
  </property>
  <property fmtid="{D5CDD505-2E9C-101B-9397-08002B2CF9AE}" pid="570" name="UpSlide_7437518631371.49439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71" name="UpSlide_2979518631388.76606[DESTINATION]">
    <vt:lpwstr>Powerpoint, 579</vt:lpwstr>
  </property>
  <property fmtid="{D5CDD505-2E9C-101B-9397-08002B2CF9AE}" pid="572" name="UpSlide_2979518631388.76606[PATH]">
    <vt:lpwstr>https://mazarsglobalcloud.sharepoint.com/sites/CIV-FAS/Shared Documents/03 _ MISSIONS/VALUATION/BOX AFRICA/06 - Reports/Box Africa BF_Rapport valorisation_Forvis Mazars V1.pptx</vt:lpwstr>
  </property>
  <property fmtid="{D5CDD505-2E9C-101B-9397-08002B2CF9AE}" pid="573" name="UpSlide_3277518631412.003914[DESTINATION]">
    <vt:lpwstr>Powerpoint, 567</vt:lpwstr>
  </property>
  <property fmtid="{D5CDD505-2E9C-101B-9397-08002B2CF9AE}" pid="574" name="UpSlide_3277518631412.00391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75" name="UpSlide_3251518631538.537219[DESTINATION]">
    <vt:lpwstr>Powerpoint, 568</vt:lpwstr>
  </property>
  <property fmtid="{D5CDD505-2E9C-101B-9397-08002B2CF9AE}" pid="576" name="UpSlide_3251518631538.53721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77" name="UpSlide_7318518703298.408784[DESTINATION]">
    <vt:lpwstr>Powerpoint, 539</vt:lpwstr>
  </property>
  <property fmtid="{D5CDD505-2E9C-101B-9397-08002B2CF9AE}" pid="578" name="UpSlide_7318518703298.40878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79" name="UpSlide_3025518703325.360285[DESTINATION]">
    <vt:lpwstr>Powerpoint, 564</vt:lpwstr>
  </property>
  <property fmtid="{D5CDD505-2E9C-101B-9397-08002B2CF9AE}" pid="580" name="UpSlide_3025518703325.36028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81" name="UpSlide_4733518703371.608805[DESTINATION]">
    <vt:lpwstr>Powerpoint, 534</vt:lpwstr>
  </property>
  <property fmtid="{D5CDD505-2E9C-101B-9397-08002B2CF9AE}" pid="582" name="UpSlide_4733518703371.60880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83" name="UpSlide_1019518703408.506261[DESTINATION]">
    <vt:lpwstr>Powerpoint, 534</vt:lpwstr>
  </property>
  <property fmtid="{D5CDD505-2E9C-101B-9397-08002B2CF9AE}" pid="584" name="UpSlide_1019518703408.50626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85" name="UpSlide_9096518703528.738451[DESTINATION]">
    <vt:lpwstr>Powerpoint, 565</vt:lpwstr>
  </property>
  <property fmtid="{D5CDD505-2E9C-101B-9397-08002B2CF9AE}" pid="586" name="UpSlide_9096518703528.73845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87" name="UpSlide_2916518703553.815654[DESTINATION]">
    <vt:lpwstr>Powerpoint, 565</vt:lpwstr>
  </property>
  <property fmtid="{D5CDD505-2E9C-101B-9397-08002B2CF9AE}" pid="588" name="UpSlide_2916518703553.81565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89" name="UpSlide_6765518704313.377733[DESTINATION]">
    <vt:lpwstr>Powerpoint, 540</vt:lpwstr>
  </property>
  <property fmtid="{D5CDD505-2E9C-101B-9397-08002B2CF9AE}" pid="590" name="UpSlide_6765518704313.37773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91" name="UpSlide_4338518704349.326975[DESTINATION]">
    <vt:lpwstr>Powerpoint, 540</vt:lpwstr>
  </property>
  <property fmtid="{D5CDD505-2E9C-101B-9397-08002B2CF9AE}" pid="592" name="UpSlide_4338518704349.32697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93" name="UpSlide_4103518704383.956563[DESTINATION]">
    <vt:lpwstr>Powerpoint, 555</vt:lpwstr>
  </property>
  <property fmtid="{D5CDD505-2E9C-101B-9397-08002B2CF9AE}" pid="594" name="UpSlide_4103518704383.95656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95" name="UpSlide_9802518713583.555295[DESTINATION]">
    <vt:lpwstr>Powerpoint, 568</vt:lpwstr>
  </property>
  <property fmtid="{D5CDD505-2E9C-101B-9397-08002B2CF9AE}" pid="596" name="UpSlide_9802518713583.55529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97" name="UpSlide_7394518713673.244629[DESTINATION]">
    <vt:lpwstr>Powerpoint, 568</vt:lpwstr>
  </property>
  <property fmtid="{D5CDD505-2E9C-101B-9397-08002B2CF9AE}" pid="598" name="UpSlide_7394518713673.24462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599" name="UpSlide_5933518713904.49928[DESTINATION]">
    <vt:lpwstr>Powerpoint, 568</vt:lpwstr>
  </property>
  <property fmtid="{D5CDD505-2E9C-101B-9397-08002B2CF9AE}" pid="600" name="UpSlide_5933518713904.4992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01" name="UpSlide_1548518714044.969971[DESTINATION]">
    <vt:lpwstr>Powerpoint, 568</vt:lpwstr>
  </property>
  <property fmtid="{D5CDD505-2E9C-101B-9397-08002B2CF9AE}" pid="602" name="UpSlide_1548518714044.96997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03" name="UpSlide_8600518714096.750989[DESTINATION]">
    <vt:lpwstr>Powerpoint, 568</vt:lpwstr>
  </property>
  <property fmtid="{D5CDD505-2E9C-101B-9397-08002B2CF9AE}" pid="604" name="UpSlide_8600518714096.75098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05" name="UpSlide_1071518716581.313506[DESTINATION]">
    <vt:lpwstr>Powerpoint, 522</vt:lpwstr>
  </property>
  <property fmtid="{D5CDD505-2E9C-101B-9397-08002B2CF9AE}" pid="606" name="UpSlide_1071518716581.31350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07" name="UpSlide_3974518716908.845264[DESTINATION]">
    <vt:lpwstr>Powerpoint, 560</vt:lpwstr>
  </property>
  <property fmtid="{D5CDD505-2E9C-101B-9397-08002B2CF9AE}" pid="608" name="UpSlide_3974518716908.84526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09" name="UpSlide_202518869955.649339[DESTINATION]">
    <vt:lpwstr>Powerpoint, 548</vt:lpwstr>
  </property>
  <property fmtid="{D5CDD505-2E9C-101B-9397-08002B2CF9AE}" pid="610" name="UpSlide_202518869955.64933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11" name="UpSlide_9888519212151.40644[DESTINATION]">
    <vt:lpwstr>Powerpoint, 522</vt:lpwstr>
  </property>
  <property fmtid="{D5CDD505-2E9C-101B-9397-08002B2CF9AE}" pid="612" name="UpSlide_9888519212151.4064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13" name="UpSlide_2129519212186.259773[DESTINATION]">
    <vt:lpwstr>Powerpoint, 548</vt:lpwstr>
  </property>
  <property fmtid="{D5CDD505-2E9C-101B-9397-08002B2CF9AE}" pid="614" name="UpSlide_2129519212186.25977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15" name="UpSlide_6580519212197.817599[DESTINATION]">
    <vt:lpwstr>Powerpoint, 548</vt:lpwstr>
  </property>
  <property fmtid="{D5CDD505-2E9C-101B-9397-08002B2CF9AE}" pid="616" name="UpSlide_6580519212197.81759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17" name="UpSlide_2699519212207.820615[DESTINATION]">
    <vt:lpwstr>Powerpoint, 548</vt:lpwstr>
  </property>
  <property fmtid="{D5CDD505-2E9C-101B-9397-08002B2CF9AE}" pid="618" name="UpSlide_2699519212207.82061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19" name="UpSlide_2573519214300.846981[DESTINATION]">
    <vt:lpwstr>Powerpoint, 548</vt:lpwstr>
  </property>
  <property fmtid="{D5CDD505-2E9C-101B-9397-08002B2CF9AE}" pid="620" name="UpSlide_2573519214300.84698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21" name="UpSlide_4688519214449.546485[DESTINATION]">
    <vt:lpwstr>Powerpoint, 548</vt:lpwstr>
  </property>
  <property fmtid="{D5CDD505-2E9C-101B-9397-08002B2CF9AE}" pid="622" name="UpSlide_4688519214449.54648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23" name="UpSlide_3164519214621.739283[DESTINATION]">
    <vt:lpwstr>Powerpoint, 548</vt:lpwstr>
  </property>
  <property fmtid="{D5CDD505-2E9C-101B-9397-08002B2CF9AE}" pid="624" name="UpSlide_3164519214621.73928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25" name="UpSlide_1984519214838.536177[DESTINATION]">
    <vt:lpwstr>Powerpoint, 548</vt:lpwstr>
  </property>
  <property fmtid="{D5CDD505-2E9C-101B-9397-08002B2CF9AE}" pid="626" name="UpSlide_1984519214838.53617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27" name="UpSlide_3048519214877.844718[DESTINATION]">
    <vt:lpwstr>Powerpoint, 548</vt:lpwstr>
  </property>
  <property fmtid="{D5CDD505-2E9C-101B-9397-08002B2CF9AE}" pid="628" name="UpSlide_3048519214877.84471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29" name="UpSlide_6431519214970.659902[DESTINATION]">
    <vt:lpwstr>Powerpoint, 548</vt:lpwstr>
  </property>
  <property fmtid="{D5CDD505-2E9C-101B-9397-08002B2CF9AE}" pid="630" name="UpSlide_6431519214970.65990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31" name="UpSlide_6657519215024.545154[DESTINATION]">
    <vt:lpwstr>Powerpoint, 548</vt:lpwstr>
  </property>
  <property fmtid="{D5CDD505-2E9C-101B-9397-08002B2CF9AE}" pid="632" name="UpSlide_6657519215024.54515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33" name="UpSlide_3965519215035.754567[DESTINATION]">
    <vt:lpwstr>Powerpoint, 548</vt:lpwstr>
  </property>
  <property fmtid="{D5CDD505-2E9C-101B-9397-08002B2CF9AE}" pid="634" name="UpSlide_3965519215035.75456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35" name="UpSlide_6408519215420.911005[DESTINATION]">
    <vt:lpwstr>Powerpoint, 548</vt:lpwstr>
  </property>
  <property fmtid="{D5CDD505-2E9C-101B-9397-08002B2CF9AE}" pid="636" name="UpSlide_6408519215420.91100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37" name="UpSlide_9562519234272.214057[DESTINATION]">
    <vt:lpwstr>Powerpoint, 567</vt:lpwstr>
  </property>
  <property fmtid="{D5CDD505-2E9C-101B-9397-08002B2CF9AE}" pid="638" name="UpSlide_9562519234272.21405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39" name="UpSlide_665519234282.386622[DESTINATION]">
    <vt:lpwstr>Powerpoint, 567</vt:lpwstr>
  </property>
  <property fmtid="{D5CDD505-2E9C-101B-9397-08002B2CF9AE}" pid="640" name="UpSlide_665519234282.38662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41" name="UpSlide_3510519234890.600505[DESTINATION]">
    <vt:lpwstr>Powerpoint, 569</vt:lpwstr>
  </property>
  <property fmtid="{D5CDD505-2E9C-101B-9397-08002B2CF9AE}" pid="642" name="UpSlide_3510519234890.60050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43" name="UpSlide_613519296233.956927[DESTINATION]">
    <vt:lpwstr>Powerpoint, 555</vt:lpwstr>
  </property>
  <property fmtid="{D5CDD505-2E9C-101B-9397-08002B2CF9AE}" pid="644" name="UpSlide_613519296233.95692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45" name="UpSlide_973519296315.045535[DESTINATION]">
    <vt:lpwstr>Powerpoint, 575</vt:lpwstr>
  </property>
  <property fmtid="{D5CDD505-2E9C-101B-9397-08002B2CF9AE}" pid="646" name="UpSlide_973519296315.04553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47" name="UpSlide_6336519323339.754896[DESTINATION]">
    <vt:lpwstr>Powerpoint, 569</vt:lpwstr>
  </property>
  <property fmtid="{D5CDD505-2E9C-101B-9397-08002B2CF9AE}" pid="648" name="UpSlide_6336519323339.75489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49" name="UpSlide_6169519393860.373[DESTINATION]">
    <vt:lpwstr>Powerpoint, 539</vt:lpwstr>
  </property>
  <property fmtid="{D5CDD505-2E9C-101B-9397-08002B2CF9AE}" pid="650" name="UpSlide_6169519393860.37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51" name="UpSlide_3816519483580.389066[DESTINATION]">
    <vt:lpwstr>Powerpoint, 527</vt:lpwstr>
  </property>
  <property fmtid="{D5CDD505-2E9C-101B-9397-08002B2CF9AE}" pid="652" name="UpSlide_3816519483580.38906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53" name="UpSlide_1043519483605.063978[DESTINATION]">
    <vt:lpwstr>Powerpoint, 527</vt:lpwstr>
  </property>
  <property fmtid="{D5CDD505-2E9C-101B-9397-08002B2CF9AE}" pid="654" name="UpSlide_1043519483605.06397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55" name="UpSlide_812519484074.428682[DESTINATION]">
    <vt:lpwstr>Powerpoint, 527</vt:lpwstr>
  </property>
  <property fmtid="{D5CDD505-2E9C-101B-9397-08002B2CF9AE}" pid="656" name="UpSlide_812519484074.42868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57" name="UpSlide_2987519484191.58326[DESTINATION]">
    <vt:lpwstr>Powerpoint, 527</vt:lpwstr>
  </property>
  <property fmtid="{D5CDD505-2E9C-101B-9397-08002B2CF9AE}" pid="658" name="UpSlide_2987519484191.5832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59" name="UpSlide_6917519484429.990217[DESTINATION]">
    <vt:lpwstr>Powerpoint, 530</vt:lpwstr>
  </property>
  <property fmtid="{D5CDD505-2E9C-101B-9397-08002B2CF9AE}" pid="660" name="UpSlide_6917519484429.99021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61" name="UpSlide_2900519484449.596328[DESTINATION]">
    <vt:lpwstr>Powerpoint, 543</vt:lpwstr>
  </property>
  <property fmtid="{D5CDD505-2E9C-101B-9397-08002B2CF9AE}" pid="662" name="UpSlide_2900519484449.59632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63" name="UpSlide_9157519484470.853003[DESTINATION]">
    <vt:lpwstr>Powerpoint, 530</vt:lpwstr>
  </property>
  <property fmtid="{D5CDD505-2E9C-101B-9397-08002B2CF9AE}" pid="664" name="UpSlide_9157519484470.85300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65" name="UpSlide_9204519484527.629188[DESTINATION]">
    <vt:lpwstr>Powerpoint, 530</vt:lpwstr>
  </property>
  <property fmtid="{D5CDD505-2E9C-101B-9397-08002B2CF9AE}" pid="666" name="UpSlide_9204519484527.62918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67" name="UpSlide_8873519484550.54513[DESTINATION]">
    <vt:lpwstr>Powerpoint, 543</vt:lpwstr>
  </property>
  <property fmtid="{D5CDD505-2E9C-101B-9397-08002B2CF9AE}" pid="668" name="UpSlide_8873519484550.5451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69" name="UpSlide_69519484575.786616[DESTINATION]">
    <vt:lpwstr>Powerpoint, 530</vt:lpwstr>
  </property>
  <property fmtid="{D5CDD505-2E9C-101B-9397-08002B2CF9AE}" pid="670" name="UpSlide_69519484575.78661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71" name="UpSlide_6249519484600.861459[DESTINATION]">
    <vt:lpwstr>Powerpoint, 530</vt:lpwstr>
  </property>
  <property fmtid="{D5CDD505-2E9C-101B-9397-08002B2CF9AE}" pid="672" name="UpSlide_6249519484600.86145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73" name="UpSlide_5117519484808.214933[DESTINATION]">
    <vt:lpwstr>Powerpoint, 530</vt:lpwstr>
  </property>
  <property fmtid="{D5CDD505-2E9C-101B-9397-08002B2CF9AE}" pid="674" name="UpSlide_5117519484808.21493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75" name="UpSlide_7121519484830.490293[DESTINATION]">
    <vt:lpwstr>Powerpoint, 543</vt:lpwstr>
  </property>
  <property fmtid="{D5CDD505-2E9C-101B-9397-08002B2CF9AE}" pid="676" name="UpSlide_7121519484830.49029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77" name="UpSlide_3063519484992.012736[DESTINATION]">
    <vt:lpwstr>Powerpoint, 530</vt:lpwstr>
  </property>
  <property fmtid="{D5CDD505-2E9C-101B-9397-08002B2CF9AE}" pid="678" name="UpSlide_3063519484992.01273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79" name="UpSlide_6581519485139.842609[DESTINATION]">
    <vt:lpwstr>Powerpoint, 527</vt:lpwstr>
  </property>
  <property fmtid="{D5CDD505-2E9C-101B-9397-08002B2CF9AE}" pid="680" name="UpSlide_6581519485139.84260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81" name="UpSlide_8540519485167.428539[DESTINATION]">
    <vt:lpwstr>Powerpoint, 527</vt:lpwstr>
  </property>
  <property fmtid="{D5CDD505-2E9C-101B-9397-08002B2CF9AE}" pid="682" name="UpSlide_8540519485167.42853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83" name="UpSlide_4159519485607.874688[DESTINATION]">
    <vt:lpwstr>Powerpoint, 527</vt:lpwstr>
  </property>
  <property fmtid="{D5CDD505-2E9C-101B-9397-08002B2CF9AE}" pid="684" name="UpSlide_4159519485607.874688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85" name="UpSlide_3369519486554.68077[DESTINATION]">
    <vt:lpwstr>Powerpoint, 527</vt:lpwstr>
  </property>
  <property fmtid="{D5CDD505-2E9C-101B-9397-08002B2CF9AE}" pid="686" name="UpSlide_3369519486554.6807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87" name="UpSlide_1831519486633.719099[DESTINATION]">
    <vt:lpwstr>Powerpoint, 527</vt:lpwstr>
  </property>
  <property fmtid="{D5CDD505-2E9C-101B-9397-08002B2CF9AE}" pid="688" name="UpSlide_1831519486633.71909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89" name="UpSlide_3932519486659.337407[DESTINATION]">
    <vt:lpwstr>Powerpoint, 527</vt:lpwstr>
  </property>
  <property fmtid="{D5CDD505-2E9C-101B-9397-08002B2CF9AE}" pid="690" name="UpSlide_3932519486659.33740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91" name="UpSlide_4563519486672.871596[DESTINATION]">
    <vt:lpwstr>Powerpoint, 527</vt:lpwstr>
  </property>
  <property fmtid="{D5CDD505-2E9C-101B-9397-08002B2CF9AE}" pid="692" name="UpSlide_4563519486672.87159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93" name="UpSlide_3874519486838.97633[DESTINATION]">
    <vt:lpwstr>Powerpoint, 527</vt:lpwstr>
  </property>
  <property fmtid="{D5CDD505-2E9C-101B-9397-08002B2CF9AE}" pid="694" name="UpSlide_3874519486838.9763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95" name="UpSlide_7925519486880.582122[DESTINATION]">
    <vt:lpwstr>Powerpoint, 527</vt:lpwstr>
  </property>
  <property fmtid="{D5CDD505-2E9C-101B-9397-08002B2CF9AE}" pid="696" name="UpSlide_7925519486880.58212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97" name="UpSlide_2471519486965.332495[DESTINATION]">
    <vt:lpwstr>Powerpoint, 527</vt:lpwstr>
  </property>
  <property fmtid="{D5CDD505-2E9C-101B-9397-08002B2CF9AE}" pid="698" name="UpSlide_2471519486965.33249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699" name="UpSlide_253519487297.800174[DESTINATION]">
    <vt:lpwstr>Powerpoint, 522</vt:lpwstr>
  </property>
  <property fmtid="{D5CDD505-2E9C-101B-9397-08002B2CF9AE}" pid="700" name="UpSlide_253519487297.80017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01" name="UpSlide_2205519488064.575529[DESTINATION]">
    <vt:lpwstr>Powerpoint, 522</vt:lpwstr>
  </property>
  <property fmtid="{D5CDD505-2E9C-101B-9397-08002B2CF9AE}" pid="702" name="UpSlide_2205519488064.57552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03" name="UpSlide_1720519488247.771096[DESTINATION]">
    <vt:lpwstr>Powerpoint, 522</vt:lpwstr>
  </property>
  <property fmtid="{D5CDD505-2E9C-101B-9397-08002B2CF9AE}" pid="704" name="UpSlide_1720519488247.77109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05" name="UpSlide_9950519488274.952201[DESTINATION]">
    <vt:lpwstr>Powerpoint, 522</vt:lpwstr>
  </property>
  <property fmtid="{D5CDD505-2E9C-101B-9397-08002B2CF9AE}" pid="706" name="UpSlide_9950519488274.95220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07" name="UpSlide_132519488302.103965[DESTINATION]">
    <vt:lpwstr>Powerpoint, 548</vt:lpwstr>
  </property>
  <property fmtid="{D5CDD505-2E9C-101B-9397-08002B2CF9AE}" pid="708" name="UpSlide_132519488302.10396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09" name="UpSlide_4510519488338.031299[DESTINATION]">
    <vt:lpwstr>Powerpoint, 548</vt:lpwstr>
  </property>
  <property fmtid="{D5CDD505-2E9C-101B-9397-08002B2CF9AE}" pid="710" name="UpSlide_4510519488338.03129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11" name="UpSlide_8707519488346.791132[DESTINATION]">
    <vt:lpwstr>Powerpoint, 548</vt:lpwstr>
  </property>
  <property fmtid="{D5CDD505-2E9C-101B-9397-08002B2CF9AE}" pid="712" name="UpSlide_8707519488346.79113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13" name="UpSlide_5969519488355.743506[DESTINATION]">
    <vt:lpwstr>Powerpoint, 548</vt:lpwstr>
  </property>
  <property fmtid="{D5CDD505-2E9C-101B-9397-08002B2CF9AE}" pid="714" name="UpSlide_5969519488355.74350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15" name="UpSlide_9414519489048.811022[DESTINATION]">
    <vt:lpwstr>Powerpoint, 552</vt:lpwstr>
  </property>
  <property fmtid="{D5CDD505-2E9C-101B-9397-08002B2CF9AE}" pid="716" name="UpSlide_9414519489048.81102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17" name="UpSlide_8922519492333.701143[DESTINATION]">
    <vt:lpwstr>Powerpoint, 527</vt:lpwstr>
  </property>
  <property fmtid="{D5CDD505-2E9C-101B-9397-08002B2CF9AE}" pid="718" name="UpSlide_8922519492333.70114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19" name="UpSlide_3969519247174.19194[DESTINATION]">
    <vt:lpwstr>Powerpoint, 549</vt:lpwstr>
  </property>
  <property fmtid="{D5CDD505-2E9C-101B-9397-08002B2CF9AE}" pid="720" name="UpSlide_3969519247174.1919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21" name="UpSlide_8426520095107.141669[DESTINATION]">
    <vt:lpwstr>Powerpoint, 552</vt:lpwstr>
  </property>
  <property fmtid="{D5CDD505-2E9C-101B-9397-08002B2CF9AE}" pid="722" name="UpSlide_8426520095107.14166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23" name="UpSlide_7633520095663.086144[DESTINATION]">
    <vt:lpwstr>Powerpoint, 556</vt:lpwstr>
  </property>
  <property fmtid="{D5CDD505-2E9C-101B-9397-08002B2CF9AE}" pid="724" name="UpSlide_7633520095663.08614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25" name="UpSlide_6989520095808.794394[DESTINATION]">
    <vt:lpwstr>Powerpoint, 552</vt:lpwstr>
  </property>
  <property fmtid="{D5CDD505-2E9C-101B-9397-08002B2CF9AE}" pid="726" name="UpSlide_6989520095808.794394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27" name="UpSlide_5607520096059.895507[DESTINATION]">
    <vt:lpwstr>Powerpoint, 553</vt:lpwstr>
  </property>
  <property fmtid="{D5CDD505-2E9C-101B-9397-08002B2CF9AE}" pid="728" name="UpSlide_5607520096059.89550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29" name="UpSlide_3191520096100.283077[DESTINATION]">
    <vt:lpwstr>Powerpoint, 553</vt:lpwstr>
  </property>
  <property fmtid="{D5CDD505-2E9C-101B-9397-08002B2CF9AE}" pid="730" name="UpSlide_3191520096100.28307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31" name="UpSlide_6549520096168.211396[DESTINATION]">
    <vt:lpwstr>Powerpoint, 553</vt:lpwstr>
  </property>
  <property fmtid="{D5CDD505-2E9C-101B-9397-08002B2CF9AE}" pid="732" name="UpSlide_6549520096168.21139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33" name="UpSlide_7655520096194.409356[DESTINATION]">
    <vt:lpwstr>Powerpoint, 553</vt:lpwstr>
  </property>
  <property fmtid="{D5CDD505-2E9C-101B-9397-08002B2CF9AE}" pid="734" name="UpSlide_7655520096194.40935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35" name="UpSlide_2312520096357.570879[DESTINATION]">
    <vt:lpwstr>Powerpoint, 553</vt:lpwstr>
  </property>
  <property fmtid="{D5CDD505-2E9C-101B-9397-08002B2CF9AE}" pid="736" name="UpSlide_2312520096357.57087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37" name="UpSlide_3913520096418.753007[DESTINATION]">
    <vt:lpwstr>Powerpoint, 553</vt:lpwstr>
  </property>
  <property fmtid="{D5CDD505-2E9C-101B-9397-08002B2CF9AE}" pid="738" name="UpSlide_3913520096418.753007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39" name="UpSlide_7529520096460.904502[DESTINATION]">
    <vt:lpwstr>Powerpoint, 553</vt:lpwstr>
  </property>
  <property fmtid="{D5CDD505-2E9C-101B-9397-08002B2CF9AE}" pid="740" name="UpSlide_7529520096460.90450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41" name="UpSlide_4528520096597.082846[DESTINATION]">
    <vt:lpwstr>Powerpoint, 556</vt:lpwstr>
  </property>
  <property fmtid="{D5CDD505-2E9C-101B-9397-08002B2CF9AE}" pid="742" name="UpSlide_4528520096597.08284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43" name="UpSlide_2080520096638.982796[DESTINATION]">
    <vt:lpwstr>Powerpoint, 556</vt:lpwstr>
  </property>
  <property fmtid="{D5CDD505-2E9C-101B-9397-08002B2CF9AE}" pid="744" name="UpSlide_2080520096638.98279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45" name="UpSlide_4288520096675.364739[DESTINATION]">
    <vt:lpwstr>Powerpoint, 556</vt:lpwstr>
  </property>
  <property fmtid="{D5CDD505-2E9C-101B-9397-08002B2CF9AE}" pid="746" name="UpSlide_4288520096675.364739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47" name="UpSlide_1275520098454.178311[DESTINATION]">
    <vt:lpwstr>Powerpoint, 553</vt:lpwstr>
  </property>
  <property fmtid="{D5CDD505-2E9C-101B-9397-08002B2CF9AE}" pid="748" name="UpSlide_1275520098454.17831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49" name="UpSlide_7571520098658.924422[DESTINATION]">
    <vt:lpwstr>Powerpoint, 552</vt:lpwstr>
  </property>
  <property fmtid="{D5CDD505-2E9C-101B-9397-08002B2CF9AE}" pid="750" name="UpSlide_7571520098658.92442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51" name="UpSlide_8371520098663.912696[DESTINATION]">
    <vt:lpwstr>Powerpoint, 553</vt:lpwstr>
  </property>
  <property fmtid="{D5CDD505-2E9C-101B-9397-08002B2CF9AE}" pid="752" name="UpSlide_8371520098663.91269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53" name="UpSlide_9422520098696.379571[DESTINATION]">
    <vt:lpwstr>Powerpoint, 553</vt:lpwstr>
  </property>
  <property fmtid="{D5CDD505-2E9C-101B-9397-08002B2CF9AE}" pid="754" name="UpSlide_9422520098696.379571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55" name="UpSlide_1490520101965.092426[DESTINATION]">
    <vt:lpwstr>Powerpoint, 552</vt:lpwstr>
  </property>
  <property fmtid="{D5CDD505-2E9C-101B-9397-08002B2CF9AE}" pid="756" name="UpSlide_1490520101965.092426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57" name="UpSlide_5445520102709.693475[DESTINATION]">
    <vt:lpwstr>Powerpoint, 567</vt:lpwstr>
  </property>
  <property fmtid="{D5CDD505-2E9C-101B-9397-08002B2CF9AE}" pid="758" name="UpSlide_5445520102709.693475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59" name="UpSlide_7065520105878.235433[DESTINATION]">
    <vt:lpwstr>Powerpoint, 567</vt:lpwstr>
  </property>
  <property fmtid="{D5CDD505-2E9C-101B-9397-08002B2CF9AE}" pid="760" name="UpSlide_7065520105878.235433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61" name="UpSlide_5415520105933.500682[DESTINATION]">
    <vt:lpwstr>Powerpoint, 567</vt:lpwstr>
  </property>
  <property fmtid="{D5CDD505-2E9C-101B-9397-08002B2CF9AE}" pid="762" name="UpSlide_5415520105933.500682[PATH]">
    <vt:lpwstr>https://mazarsglobalcloud.sharepoint.com/sites/CIV-FAS/Shared Documents/03 _ MISSIONS/VALUATION/BOX AFRICA/06 - Reports/Projet BOX AFRICA_Rapport de valorisation de BACI_Forvis Mazars V1.pptx</vt:lpwstr>
  </property>
  <property fmtid="{D5CDD505-2E9C-101B-9397-08002B2CF9AE}" pid="763" name="UpSlide_4422520549308.351665[DESTINATION]">
    <vt:lpwstr>Powerpoint, 580</vt:lpwstr>
  </property>
  <property fmtid="{D5CDD505-2E9C-101B-9397-08002B2CF9AE}" pid="764" name="UpSlide_4422520549308.351665[PATH]">
    <vt:lpwstr>https://mazarsglobalcloud.sharepoint.com/sites/CIV-FAS/Shared Documents/03 _ MISSIONS/VALUATION/BOX AFRICA/06 - Reports/Box Africa BF_Rapport valorisation_Forvis Mazars V1.pptx</vt:lpwstr>
  </property>
  <property fmtid="{D5CDD505-2E9C-101B-9397-08002B2CF9AE}" pid="765" name="UpSlide_2421520549347.857948[DESTINATION]">
    <vt:lpwstr>Powerpoint, 580</vt:lpwstr>
  </property>
  <property fmtid="{D5CDD505-2E9C-101B-9397-08002B2CF9AE}" pid="766" name="UpSlide_2421520549347.857948[PATH]">
    <vt:lpwstr>https://mazarsglobalcloud.sharepoint.com/sites/CIV-FAS/Shared Documents/03 _ MISSIONS/VALUATION/BOX AFRICA/06 - Reports/Box Africa BF_Rapport valorisation_Forvis Mazars V1.pptx</vt:lpwstr>
  </property>
  <property fmtid="{D5CDD505-2E9C-101B-9397-08002B2CF9AE}" pid="767" name="UpSlide_5281520549364.738929[DESTINATION]">
    <vt:lpwstr>Powerpoint, 580</vt:lpwstr>
  </property>
  <property fmtid="{D5CDD505-2E9C-101B-9397-08002B2CF9AE}" pid="768" name="UpSlide_5281520549364.738929[PATH]">
    <vt:lpwstr>https://mazarsglobalcloud.sharepoint.com/sites/CIV-FAS/Shared Documents/03 _ MISSIONS/VALUATION/BOX AFRICA/06 - Reports/Box Africa BF_Rapport valorisation_Forvis Mazars V1.pptx</vt:lpwstr>
  </property>
</Properties>
</file>