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tncloud-my.sharepoint.com/personal/issa_kone2_mtn_com/Documents/MIGNAN KONE/Desktop/July 26/"/>
    </mc:Choice>
  </mc:AlternateContent>
  <xr:revisionPtr revIDLastSave="0" documentId="8_{3C7E693D-084F-46D6-A262-2A394442FBDD}" xr6:coauthVersionLast="47" xr6:coauthVersionMax="47" xr10:uidLastSave="{00000000-0000-0000-0000-000000000000}"/>
  <bookViews>
    <workbookView xWindow="-110" yWindow="-110" windowWidth="19420" windowHeight="11500" xr2:uid="{1C32433E-B194-41BE-B30A-37E0AD5A51E6}"/>
  </bookViews>
  <sheets>
    <sheet name="Stand-Ohada" sheetId="2" r:id="rId1"/>
    <sheet name="Conso" sheetId="1" state="hidden" r:id="rId2"/>
    <sheet name="Adjustments" sheetId="6" r:id="rId3"/>
    <sheet name="2023" sheetId="7" r:id="rId4"/>
    <sheet name="2024" sheetId="8" r:id="rId5"/>
    <sheet name="2025" sheetId="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5" i="9" l="1"/>
  <c r="H23" i="9"/>
  <c r="F23" i="9"/>
  <c r="H20" i="9"/>
  <c r="H24" i="9" s="1"/>
  <c r="H26" i="9" s="1"/>
  <c r="H28" i="9" s="1"/>
  <c r="F20" i="9"/>
  <c r="F24" i="9" s="1"/>
  <c r="J19" i="9"/>
  <c r="J18" i="9"/>
  <c r="J17" i="9"/>
  <c r="J16" i="9"/>
  <c r="J15" i="9"/>
  <c r="H15" i="9"/>
  <c r="J14" i="9"/>
  <c r="H14" i="9"/>
  <c r="F14" i="9"/>
  <c r="F7" i="9"/>
  <c r="F6" i="9"/>
  <c r="F5" i="9"/>
  <c r="F4" i="9"/>
  <c r="F3" i="9"/>
  <c r="E25" i="8"/>
  <c r="E27" i="8" s="1"/>
  <c r="E23" i="8"/>
  <c r="E22" i="8"/>
  <c r="E19" i="8"/>
  <c r="E13" i="8"/>
  <c r="G12" i="8"/>
  <c r="V7" i="8"/>
  <c r="C7" i="8"/>
  <c r="E7" i="8" s="1"/>
  <c r="V6" i="8"/>
  <c r="E6" i="8"/>
  <c r="C6" i="8"/>
  <c r="V5" i="8"/>
  <c r="E5" i="8"/>
  <c r="C5" i="8"/>
  <c r="V4" i="8"/>
  <c r="C4" i="8"/>
  <c r="E4" i="8" s="1"/>
  <c r="V3" i="8"/>
  <c r="C3" i="8"/>
  <c r="E3" i="8" s="1"/>
  <c r="E22" i="7"/>
  <c r="E14" i="7"/>
  <c r="E13" i="7"/>
  <c r="E19" i="7" s="1"/>
  <c r="E23" i="7" s="1"/>
  <c r="E25" i="7" s="1"/>
  <c r="E27" i="7" s="1"/>
  <c r="I12" i="7"/>
  <c r="J12" i="7" s="1"/>
  <c r="E7" i="7"/>
  <c r="E6" i="7"/>
  <c r="E5" i="7"/>
  <c r="E4" i="7"/>
  <c r="E3" i="7"/>
  <c r="C26" i="2"/>
  <c r="D26" i="2"/>
  <c r="E26" i="2"/>
  <c r="F26" i="2"/>
  <c r="G26" i="2"/>
  <c r="B26" i="2"/>
  <c r="C22" i="2"/>
  <c r="W22" i="2" s="1"/>
  <c r="AC22" i="2" s="1"/>
  <c r="C23" i="2"/>
  <c r="D23" i="2"/>
  <c r="E23" i="2"/>
  <c r="F23" i="2"/>
  <c r="G23" i="2"/>
  <c r="B23" i="2"/>
  <c r="C21" i="2"/>
  <c r="C18" i="2"/>
  <c r="C19" i="2" s="1"/>
  <c r="B18" i="2"/>
  <c r="V18" i="2" s="1"/>
  <c r="D21" i="2"/>
  <c r="E21" i="2"/>
  <c r="F21" i="2"/>
  <c r="G21" i="2"/>
  <c r="D19" i="2"/>
  <c r="E19" i="2"/>
  <c r="F19" i="2"/>
  <c r="G19" i="2"/>
  <c r="B19" i="2"/>
  <c r="B21" i="2" s="1"/>
  <c r="C9" i="2"/>
  <c r="C8" i="2"/>
  <c r="W8" i="2" s="1"/>
  <c r="AC8" i="2" s="1"/>
  <c r="C7" i="2"/>
  <c r="C26" i="6"/>
  <c r="V25" i="2"/>
  <c r="W25" i="2"/>
  <c r="X25" i="2"/>
  <c r="AD25" i="2"/>
  <c r="Y26" i="2"/>
  <c r="Z26" i="2"/>
  <c r="AA26" i="2"/>
  <c r="X23" i="2"/>
  <c r="Y23" i="2"/>
  <c r="Z23" i="2"/>
  <c r="AA23" i="2"/>
  <c r="X21" i="2"/>
  <c r="AD21" i="2" s="1"/>
  <c r="Y21" i="2"/>
  <c r="Z21" i="2"/>
  <c r="AA21" i="2"/>
  <c r="X19" i="2"/>
  <c r="Y19" i="2"/>
  <c r="AD19" i="2" s="1"/>
  <c r="Z19" i="2"/>
  <c r="AA19" i="2"/>
  <c r="Y25" i="2"/>
  <c r="Z25" i="2"/>
  <c r="AF25" i="2" s="1"/>
  <c r="AA25" i="2"/>
  <c r="W24" i="2"/>
  <c r="AC24" i="2" s="1"/>
  <c r="X24" i="2"/>
  <c r="Y24" i="2"/>
  <c r="AD24" i="2" s="1"/>
  <c r="Z24" i="2"/>
  <c r="AA24" i="2"/>
  <c r="V24" i="2"/>
  <c r="X22" i="2"/>
  <c r="Y22" i="2"/>
  <c r="Z22" i="2"/>
  <c r="AA22" i="2"/>
  <c r="AF22" i="2" s="1"/>
  <c r="V22" i="2"/>
  <c r="W20" i="2"/>
  <c r="X20" i="2"/>
  <c r="Y20" i="2"/>
  <c r="Z20" i="2"/>
  <c r="AA20" i="2"/>
  <c r="V20" i="2"/>
  <c r="X18" i="2"/>
  <c r="Y18" i="2"/>
  <c r="AD18" i="2" s="1"/>
  <c r="Z18" i="2"/>
  <c r="AE18" i="2" s="1"/>
  <c r="AA18" i="2"/>
  <c r="X8" i="2"/>
  <c r="Y8" i="2"/>
  <c r="Z8" i="2"/>
  <c r="AA8" i="2"/>
  <c r="V8" i="2"/>
  <c r="W9" i="2"/>
  <c r="AC9" i="2" s="1"/>
  <c r="X9" i="2"/>
  <c r="Y9" i="2"/>
  <c r="Z9" i="2"/>
  <c r="AA9" i="2"/>
  <c r="V9" i="2"/>
  <c r="X7" i="2"/>
  <c r="Y7" i="2"/>
  <c r="Z7" i="2"/>
  <c r="AE7" i="2" s="1"/>
  <c r="AA7" i="2"/>
  <c r="AF7" i="2" s="1"/>
  <c r="V7" i="2"/>
  <c r="AF37" i="2"/>
  <c r="Y37" i="2"/>
  <c r="AE37" i="2" s="1"/>
  <c r="AF36" i="2"/>
  <c r="AE36" i="2"/>
  <c r="AD36" i="2"/>
  <c r="AC36" i="2"/>
  <c r="AB36" i="2"/>
  <c r="AF35" i="2"/>
  <c r="AE35" i="2"/>
  <c r="AD35" i="2"/>
  <c r="AC35" i="2"/>
  <c r="AB35" i="2"/>
  <c r="AF34" i="2"/>
  <c r="AE34" i="2"/>
  <c r="AD34" i="2"/>
  <c r="AC34" i="2"/>
  <c r="AB34" i="2"/>
  <c r="AF33" i="2"/>
  <c r="AE33" i="2"/>
  <c r="AD33" i="2"/>
  <c r="AC33" i="2"/>
  <c r="AB33" i="2"/>
  <c r="AF32" i="2"/>
  <c r="AE32" i="2"/>
  <c r="AD32" i="2"/>
  <c r="AC32" i="2"/>
  <c r="AB32" i="2"/>
  <c r="AF31" i="2"/>
  <c r="AE31" i="2"/>
  <c r="AD31" i="2"/>
  <c r="AC31" i="2"/>
  <c r="AB31" i="2"/>
  <c r="AF30" i="2"/>
  <c r="AE30" i="2"/>
  <c r="AD30" i="2"/>
  <c r="AC30" i="2"/>
  <c r="AB30" i="2"/>
  <c r="AF28" i="2"/>
  <c r="AE28" i="2"/>
  <c r="AD28" i="2"/>
  <c r="AC28" i="2"/>
  <c r="AB28" i="2"/>
  <c r="AF26" i="2"/>
  <c r="AE26" i="2"/>
  <c r="AF24" i="2"/>
  <c r="AE24" i="2"/>
  <c r="AF23" i="2"/>
  <c r="AE23" i="2"/>
  <c r="AD23" i="2"/>
  <c r="AE22" i="2"/>
  <c r="AD22" i="2"/>
  <c r="AF21" i="2"/>
  <c r="AE21" i="2"/>
  <c r="AF20" i="2"/>
  <c r="AE20" i="2"/>
  <c r="AD20" i="2"/>
  <c r="AC20" i="2"/>
  <c r="AF19" i="2"/>
  <c r="AE19" i="2"/>
  <c r="AF18" i="2"/>
  <c r="AF17" i="2"/>
  <c r="AE17" i="2"/>
  <c r="AD17" i="2"/>
  <c r="AC17" i="2"/>
  <c r="AB17" i="2"/>
  <c r="AF16" i="2"/>
  <c r="AE16" i="2"/>
  <c r="AD16" i="2"/>
  <c r="AC16" i="2"/>
  <c r="AB16" i="2"/>
  <c r="AF15" i="2"/>
  <c r="AE15" i="2"/>
  <c r="AD15" i="2"/>
  <c r="AC15" i="2"/>
  <c r="AB15" i="2"/>
  <c r="AF14" i="2"/>
  <c r="AE14" i="2"/>
  <c r="AD14" i="2"/>
  <c r="AC14" i="2"/>
  <c r="AB14" i="2"/>
  <c r="Y14" i="2"/>
  <c r="AF13" i="2"/>
  <c r="AE13" i="2"/>
  <c r="AD13" i="2"/>
  <c r="AC13" i="2"/>
  <c r="AB13" i="2"/>
  <c r="AF12" i="2"/>
  <c r="AE12" i="2"/>
  <c r="AD12" i="2"/>
  <c r="AC12" i="2"/>
  <c r="AB12" i="2"/>
  <c r="AF11" i="2"/>
  <c r="AE11" i="2"/>
  <c r="AD11" i="2"/>
  <c r="AC11" i="2"/>
  <c r="AB11" i="2"/>
  <c r="AF10" i="2"/>
  <c r="AE10" i="2"/>
  <c r="AD10" i="2"/>
  <c r="AC10" i="2"/>
  <c r="AB10" i="2"/>
  <c r="AF9" i="2"/>
  <c r="AE9" i="2"/>
  <c r="AD9" i="2"/>
  <c r="AF8" i="2"/>
  <c r="AE8" i="2"/>
  <c r="AD8" i="2"/>
  <c r="AD7" i="2"/>
  <c r="O24" i="2"/>
  <c r="P24" i="2"/>
  <c r="Q24" i="2"/>
  <c r="R24" i="2"/>
  <c r="S24" i="2"/>
  <c r="O25" i="2"/>
  <c r="P25" i="2"/>
  <c r="Q25" i="2"/>
  <c r="R25" i="2"/>
  <c r="S25" i="2"/>
  <c r="N25" i="2"/>
  <c r="N24" i="2"/>
  <c r="D33" i="6"/>
  <c r="E33" i="6"/>
  <c r="F33" i="6"/>
  <c r="G33" i="6"/>
  <c r="H33" i="6"/>
  <c r="C33" i="6"/>
  <c r="D31" i="6"/>
  <c r="E31" i="6"/>
  <c r="F31" i="6"/>
  <c r="G31" i="6"/>
  <c r="H31" i="6"/>
  <c r="C31" i="6"/>
  <c r="O22" i="2"/>
  <c r="P22" i="2"/>
  <c r="Q22" i="2"/>
  <c r="R22" i="2"/>
  <c r="S22" i="2"/>
  <c r="N22" i="2"/>
  <c r="O18" i="2"/>
  <c r="P18" i="2"/>
  <c r="Q18" i="2"/>
  <c r="R18" i="2"/>
  <c r="S18" i="2"/>
  <c r="O20" i="2"/>
  <c r="P20" i="2"/>
  <c r="Q20" i="2"/>
  <c r="R20" i="2"/>
  <c r="S20" i="2"/>
  <c r="N20" i="2"/>
  <c r="N18" i="2"/>
  <c r="O9" i="2"/>
  <c r="P9" i="2"/>
  <c r="Q9" i="2"/>
  <c r="R9" i="2"/>
  <c r="S9" i="2"/>
  <c r="N9" i="2"/>
  <c r="O7" i="2"/>
  <c r="P7" i="2"/>
  <c r="Q7" i="2"/>
  <c r="R7" i="2"/>
  <c r="S7" i="2"/>
  <c r="C30" i="6"/>
  <c r="D28" i="6"/>
  <c r="E28" i="6"/>
  <c r="G28" i="6"/>
  <c r="H28" i="6"/>
  <c r="C28" i="6"/>
  <c r="D27" i="6"/>
  <c r="C27" i="6"/>
  <c r="N7" i="2"/>
  <c r="E20" i="6"/>
  <c r="G20" i="6" s="1"/>
  <c r="H20" i="6" s="1"/>
  <c r="C19" i="6"/>
  <c r="D18" i="6"/>
  <c r="D30" i="6" s="1"/>
  <c r="E10" i="6"/>
  <c r="G10" i="6" s="1"/>
  <c r="E12" i="6"/>
  <c r="E18" i="6" s="1"/>
  <c r="E30" i="6" s="1"/>
  <c r="D9" i="6"/>
  <c r="D15" i="6" s="1"/>
  <c r="D19" i="6" s="1"/>
  <c r="D21" i="6" s="1"/>
  <c r="D23" i="6" s="1"/>
  <c r="F26" i="9" l="1"/>
  <c r="F28" i="9" s="1"/>
  <c r="J24" i="9"/>
  <c r="J20" i="9"/>
  <c r="AB22" i="2"/>
  <c r="W18" i="2"/>
  <c r="AC18" i="2" s="1"/>
  <c r="AB18" i="2"/>
  <c r="V19" i="2"/>
  <c r="V21" i="2" s="1"/>
  <c r="V23" i="2" s="1"/>
  <c r="V26" i="2" s="1"/>
  <c r="AB9" i="2"/>
  <c r="AB8" i="2"/>
  <c r="W7" i="2"/>
  <c r="AB7" i="2"/>
  <c r="AC25" i="2"/>
  <c r="X26" i="2"/>
  <c r="AD26" i="2" s="1"/>
  <c r="AE25" i="2"/>
  <c r="AB25" i="2"/>
  <c r="AB24" i="2"/>
  <c r="AB20" i="2"/>
  <c r="AD37" i="2"/>
  <c r="H10" i="6"/>
  <c r="E9" i="6"/>
  <c r="G12" i="6"/>
  <c r="E27" i="6"/>
  <c r="D26" i="6"/>
  <c r="L37" i="2"/>
  <c r="H36" i="2"/>
  <c r="I36" i="2"/>
  <c r="J36" i="2"/>
  <c r="K36" i="2"/>
  <c r="L36" i="2"/>
  <c r="H35" i="2"/>
  <c r="I35" i="2"/>
  <c r="J35" i="2"/>
  <c r="K35" i="2"/>
  <c r="L35" i="2"/>
  <c r="H34" i="2"/>
  <c r="I34" i="2"/>
  <c r="J34" i="2"/>
  <c r="K34" i="2"/>
  <c r="L34" i="2"/>
  <c r="H33" i="2"/>
  <c r="I33" i="2"/>
  <c r="J33" i="2"/>
  <c r="K33" i="2"/>
  <c r="L33" i="2"/>
  <c r="H32" i="2"/>
  <c r="I32" i="2"/>
  <c r="J32" i="2"/>
  <c r="K32" i="2"/>
  <c r="L32" i="2"/>
  <c r="H31" i="2"/>
  <c r="I31" i="2"/>
  <c r="J31" i="2"/>
  <c r="K31" i="2"/>
  <c r="L31" i="2"/>
  <c r="H30" i="2"/>
  <c r="I30" i="2"/>
  <c r="J30" i="2"/>
  <c r="K30" i="2"/>
  <c r="L30" i="2"/>
  <c r="H28" i="2"/>
  <c r="I28" i="2"/>
  <c r="J28" i="2"/>
  <c r="K28" i="2"/>
  <c r="L28" i="2"/>
  <c r="H26" i="2"/>
  <c r="I26" i="2"/>
  <c r="J26" i="2"/>
  <c r="K26" i="2"/>
  <c r="L26" i="2"/>
  <c r="H25" i="2"/>
  <c r="I25" i="2"/>
  <c r="J25" i="2"/>
  <c r="K25" i="2"/>
  <c r="L25" i="2"/>
  <c r="H24" i="2"/>
  <c r="I24" i="2"/>
  <c r="J24" i="2"/>
  <c r="K24" i="2"/>
  <c r="L24" i="2"/>
  <c r="H23" i="2"/>
  <c r="I23" i="2"/>
  <c r="J23" i="2"/>
  <c r="K23" i="2"/>
  <c r="L23" i="2"/>
  <c r="H22" i="2"/>
  <c r="I22" i="2"/>
  <c r="J22" i="2"/>
  <c r="K22" i="2"/>
  <c r="L22" i="2"/>
  <c r="H21" i="2"/>
  <c r="I21" i="2"/>
  <c r="J21" i="2"/>
  <c r="K21" i="2"/>
  <c r="L21" i="2"/>
  <c r="H20" i="2"/>
  <c r="I20" i="2"/>
  <c r="J20" i="2"/>
  <c r="K20" i="2"/>
  <c r="L20" i="2"/>
  <c r="H19" i="2"/>
  <c r="I19" i="2"/>
  <c r="J19" i="2"/>
  <c r="K19" i="2"/>
  <c r="L19" i="2"/>
  <c r="H18" i="2"/>
  <c r="I18" i="2"/>
  <c r="J18" i="2"/>
  <c r="K18" i="2"/>
  <c r="L18" i="2"/>
  <c r="H17" i="2"/>
  <c r="I17" i="2"/>
  <c r="J17" i="2"/>
  <c r="K17" i="2"/>
  <c r="L17" i="2"/>
  <c r="H16" i="2"/>
  <c r="I16" i="2"/>
  <c r="J16" i="2"/>
  <c r="K16" i="2"/>
  <c r="L16" i="2"/>
  <c r="H15" i="2"/>
  <c r="I15" i="2"/>
  <c r="J15" i="2"/>
  <c r="K15" i="2"/>
  <c r="L15" i="2"/>
  <c r="H14" i="2"/>
  <c r="L14" i="2"/>
  <c r="H13" i="2"/>
  <c r="I13" i="2"/>
  <c r="J13" i="2"/>
  <c r="K13" i="2"/>
  <c r="L13" i="2"/>
  <c r="H12" i="2"/>
  <c r="I12" i="2"/>
  <c r="J12" i="2"/>
  <c r="K12" i="2"/>
  <c r="L12" i="2"/>
  <c r="H11" i="2"/>
  <c r="I11" i="2"/>
  <c r="J11" i="2"/>
  <c r="K11" i="2"/>
  <c r="L11" i="2"/>
  <c r="H10" i="2"/>
  <c r="I10" i="2"/>
  <c r="J10" i="2"/>
  <c r="K10" i="2"/>
  <c r="L10" i="2"/>
  <c r="H9" i="2"/>
  <c r="I9" i="2"/>
  <c r="J9" i="2"/>
  <c r="K9" i="2"/>
  <c r="L9" i="2"/>
  <c r="H8" i="2"/>
  <c r="I8" i="2"/>
  <c r="J8" i="2"/>
  <c r="K8" i="2"/>
  <c r="L8" i="2"/>
  <c r="H7" i="2"/>
  <c r="I7" i="2"/>
  <c r="J7" i="2"/>
  <c r="K7" i="2"/>
  <c r="L7" i="2"/>
  <c r="E37" i="2"/>
  <c r="K37" i="2" s="1"/>
  <c r="C37" i="2"/>
  <c r="H37" i="2" s="1"/>
  <c r="E14" i="2"/>
  <c r="I14" i="2" s="1"/>
  <c r="L33" i="1"/>
  <c r="I31" i="1"/>
  <c r="J25" i="1"/>
  <c r="K25" i="1"/>
  <c r="L25" i="1"/>
  <c r="M25" i="1"/>
  <c r="N25" i="1"/>
  <c r="J24" i="1"/>
  <c r="K24" i="1"/>
  <c r="L24" i="1"/>
  <c r="M24" i="1"/>
  <c r="N24" i="1"/>
  <c r="J23" i="1"/>
  <c r="K23" i="1"/>
  <c r="L23" i="1"/>
  <c r="M23" i="1"/>
  <c r="N23" i="1"/>
  <c r="J22" i="1"/>
  <c r="K22" i="1"/>
  <c r="L22" i="1"/>
  <c r="M22" i="1"/>
  <c r="N22" i="1"/>
  <c r="J21" i="1"/>
  <c r="K21" i="1"/>
  <c r="L21" i="1"/>
  <c r="M21" i="1"/>
  <c r="N21" i="1"/>
  <c r="J20" i="1"/>
  <c r="K20" i="1"/>
  <c r="L20" i="1"/>
  <c r="M20" i="1"/>
  <c r="N20" i="1"/>
  <c r="I19" i="1"/>
  <c r="J19" i="1"/>
  <c r="K19" i="1"/>
  <c r="L19" i="1"/>
  <c r="M19" i="1"/>
  <c r="N19" i="1"/>
  <c r="I18" i="1"/>
  <c r="J18" i="1"/>
  <c r="K18" i="1"/>
  <c r="L18" i="1"/>
  <c r="M18" i="1"/>
  <c r="N18" i="1"/>
  <c r="I17" i="1"/>
  <c r="J17" i="1"/>
  <c r="K17" i="1"/>
  <c r="L17" i="1"/>
  <c r="M17" i="1"/>
  <c r="N17" i="1"/>
  <c r="I16" i="1"/>
  <c r="J16" i="1"/>
  <c r="K16" i="1"/>
  <c r="L16" i="1"/>
  <c r="M16" i="1"/>
  <c r="N16" i="1"/>
  <c r="I15" i="1"/>
  <c r="J15" i="1"/>
  <c r="K15" i="1"/>
  <c r="L15" i="1"/>
  <c r="M15" i="1"/>
  <c r="N15" i="1"/>
  <c r="I14" i="1"/>
  <c r="J14" i="1"/>
  <c r="K14" i="1"/>
  <c r="L14" i="1"/>
  <c r="M14" i="1"/>
  <c r="N14" i="1"/>
  <c r="I13" i="1"/>
  <c r="J13" i="1"/>
  <c r="K13" i="1"/>
  <c r="L13" i="1"/>
  <c r="M13" i="1"/>
  <c r="N13" i="1"/>
  <c r="I12" i="1"/>
  <c r="J12" i="1"/>
  <c r="K12" i="1"/>
  <c r="L12" i="1"/>
  <c r="M12" i="1"/>
  <c r="N12" i="1"/>
  <c r="I11" i="1"/>
  <c r="J11" i="1"/>
  <c r="K11" i="1"/>
  <c r="L11" i="1"/>
  <c r="M11" i="1"/>
  <c r="N11" i="1"/>
  <c r="I10" i="1"/>
  <c r="J10" i="1"/>
  <c r="K10" i="1"/>
  <c r="L10" i="1"/>
  <c r="M10" i="1"/>
  <c r="N10" i="1"/>
  <c r="I9" i="1"/>
  <c r="J9" i="1"/>
  <c r="K9" i="1"/>
  <c r="L9" i="1"/>
  <c r="M9" i="1"/>
  <c r="N9" i="1"/>
  <c r="I8" i="1"/>
  <c r="J8" i="1"/>
  <c r="K8" i="1"/>
  <c r="L8" i="1"/>
  <c r="M8" i="1"/>
  <c r="N8" i="1"/>
  <c r="I7" i="1"/>
  <c r="J7" i="1"/>
  <c r="K7" i="1"/>
  <c r="L7" i="1"/>
  <c r="M7" i="1"/>
  <c r="N7" i="1"/>
  <c r="I6" i="1"/>
  <c r="J6" i="1"/>
  <c r="K6" i="1"/>
  <c r="L6" i="1"/>
  <c r="M6" i="1"/>
  <c r="N6" i="1"/>
  <c r="I5" i="1"/>
  <c r="J5" i="1"/>
  <c r="K5" i="1"/>
  <c r="L5" i="1"/>
  <c r="M5" i="1"/>
  <c r="N5" i="1"/>
  <c r="B33" i="1"/>
  <c r="C33" i="1"/>
  <c r="K33" i="1" s="1"/>
  <c r="D33" i="1"/>
  <c r="E33" i="1"/>
  <c r="F33" i="1"/>
  <c r="G33" i="1"/>
  <c r="M33" i="1" s="1"/>
  <c r="H33" i="1"/>
  <c r="N33" i="1" s="1"/>
  <c r="B32" i="1"/>
  <c r="C32" i="1"/>
  <c r="D32" i="1"/>
  <c r="E32" i="1"/>
  <c r="F32" i="1"/>
  <c r="G32" i="1"/>
  <c r="M32" i="1" s="1"/>
  <c r="H32" i="1"/>
  <c r="B31" i="1"/>
  <c r="C31" i="1"/>
  <c r="D31" i="1"/>
  <c r="E31" i="1"/>
  <c r="K31" i="1" s="1"/>
  <c r="F31" i="1"/>
  <c r="L31" i="1" s="1"/>
  <c r="G31" i="1"/>
  <c r="M31" i="1" s="1"/>
  <c r="H31" i="1"/>
  <c r="B30" i="1"/>
  <c r="C30" i="1"/>
  <c r="D30" i="1"/>
  <c r="E30" i="1"/>
  <c r="F30" i="1"/>
  <c r="L30" i="1" s="1"/>
  <c r="G30" i="1"/>
  <c r="H30" i="1"/>
  <c r="N30" i="1" s="1"/>
  <c r="B29" i="1"/>
  <c r="C29" i="1"/>
  <c r="D29" i="1"/>
  <c r="I29" i="1" s="1"/>
  <c r="E29" i="1"/>
  <c r="J29" i="1" s="1"/>
  <c r="F29" i="1"/>
  <c r="G29" i="1"/>
  <c r="M29" i="1" s="1"/>
  <c r="H29" i="1"/>
  <c r="N29" i="1" s="1"/>
  <c r="B28" i="1"/>
  <c r="C28" i="1"/>
  <c r="D28" i="1"/>
  <c r="I28" i="1" s="1"/>
  <c r="E28" i="1"/>
  <c r="F28" i="1"/>
  <c r="L28" i="1" s="1"/>
  <c r="G28" i="1"/>
  <c r="M28" i="1" s="1"/>
  <c r="H28" i="1"/>
  <c r="N28" i="1" s="1"/>
  <c r="B27" i="1"/>
  <c r="C27" i="1"/>
  <c r="D27" i="1"/>
  <c r="E27" i="1"/>
  <c r="F27" i="1"/>
  <c r="L27" i="1" s="1"/>
  <c r="G27" i="1"/>
  <c r="H27" i="1"/>
  <c r="N27" i="1" s="1"/>
  <c r="W19" i="2" l="1"/>
  <c r="W37" i="2"/>
  <c r="AC7" i="2"/>
  <c r="G18" i="6"/>
  <c r="G30" i="6" s="1"/>
  <c r="H12" i="6"/>
  <c r="H18" i="6" s="1"/>
  <c r="H30" i="6" s="1"/>
  <c r="G27" i="6"/>
  <c r="E15" i="6"/>
  <c r="E19" i="6" s="1"/>
  <c r="E21" i="6" s="1"/>
  <c r="E23" i="6" s="1"/>
  <c r="G9" i="6"/>
  <c r="E26" i="6"/>
  <c r="H27" i="6"/>
  <c r="J33" i="1"/>
  <c r="J28" i="1"/>
  <c r="M30" i="1"/>
  <c r="I27" i="1"/>
  <c r="J30" i="1"/>
  <c r="M27" i="1"/>
  <c r="I30" i="1"/>
  <c r="L32" i="1"/>
  <c r="J27" i="1"/>
  <c r="K27" i="1"/>
  <c r="J32" i="1"/>
  <c r="N31" i="1"/>
  <c r="J31" i="1"/>
  <c r="L29" i="1"/>
  <c r="K29" i="1"/>
  <c r="N32" i="1"/>
  <c r="K28" i="1"/>
  <c r="K30" i="1"/>
  <c r="K32" i="1"/>
  <c r="K14" i="2"/>
  <c r="J37" i="2"/>
  <c r="J14" i="2"/>
  <c r="I37" i="2"/>
  <c r="AB19" i="2" l="1"/>
  <c r="W21" i="2"/>
  <c r="AC19" i="2"/>
  <c r="AB37" i="2"/>
  <c r="AC37" i="2"/>
  <c r="H9" i="6"/>
  <c r="G26" i="6"/>
  <c r="G15" i="6"/>
  <c r="G19" i="6" s="1"/>
  <c r="G21" i="6" s="1"/>
  <c r="G23" i="6" s="1"/>
  <c r="W23" i="2" l="1"/>
  <c r="AC21" i="2"/>
  <c r="AB21" i="2"/>
  <c r="H15" i="6"/>
  <c r="H19" i="6" s="1"/>
  <c r="H21" i="6" s="1"/>
  <c r="H23" i="6" s="1"/>
  <c r="H26" i="6"/>
  <c r="AC23" i="2" l="1"/>
  <c r="AB23" i="2"/>
  <c r="W26" i="2"/>
  <c r="AC26" i="2" l="1"/>
  <c r="AB26" i="2"/>
</calcChain>
</file>

<file path=xl/sharedStrings.xml><?xml version="1.0" encoding="utf-8"?>
<sst xmlns="http://schemas.openxmlformats.org/spreadsheetml/2006/main" count="350" uniqueCount="130">
  <si>
    <t>Performance Summary | Consolidated (vs targets)</t>
  </si>
  <si>
    <t>Financials</t>
  </si>
  <si>
    <t>Full Year</t>
  </si>
  <si>
    <t>Growth %</t>
  </si>
  <si>
    <t>LC (Million)</t>
  </si>
  <si>
    <t>Act'24</t>
  </si>
  <si>
    <t>Bud'25</t>
  </si>
  <si>
    <t>5+7 FC</t>
  </si>
  <si>
    <t>8+4 FC</t>
  </si>
  <si>
    <t>Bud'26</t>
  </si>
  <si>
    <t>Bud'27</t>
  </si>
  <si>
    <t>Bud'28</t>
  </si>
  <si>
    <t>5+7 FC
vs
Act'24</t>
  </si>
  <si>
    <t>8+4 FC
vs
Act'24</t>
  </si>
  <si>
    <t>8+4 FC
vs
Bud'25</t>
  </si>
  <si>
    <t>Bud'26
vs
8+4 FC</t>
  </si>
  <si>
    <t>Bud'27
vs
Bud'26</t>
  </si>
  <si>
    <t>Bud'28
vs
Bud'27</t>
  </si>
  <si>
    <t>Total Revenue</t>
  </si>
  <si>
    <t>Service Revenue</t>
  </si>
  <si>
    <t>Total Voice Revenue</t>
  </si>
  <si>
    <t>Total Data Revenue</t>
  </si>
  <si>
    <t>Digital Revenue</t>
  </si>
  <si>
    <t>FinTech</t>
  </si>
  <si>
    <t>SMS Revenue</t>
  </si>
  <si>
    <t>Total Wholesale</t>
  </si>
  <si>
    <t>Fixed Connectivity</t>
  </si>
  <si>
    <t>Converged Service Revenue</t>
  </si>
  <si>
    <t>Non-service revenue</t>
  </si>
  <si>
    <t>Cost of Sales</t>
  </si>
  <si>
    <t>Contribution Margin</t>
  </si>
  <si>
    <t>Operating Expenditure</t>
  </si>
  <si>
    <t>EBITDA</t>
  </si>
  <si>
    <t>Depreciation &amp; Amortisation</t>
  </si>
  <si>
    <t>EBIT</t>
  </si>
  <si>
    <t>Finance Costs</t>
  </si>
  <si>
    <t>Taxation</t>
  </si>
  <si>
    <t>Profit (Loss) after taxation</t>
  </si>
  <si>
    <t>Capex LC</t>
  </si>
  <si>
    <t>COS to Revenue</t>
  </si>
  <si>
    <t>Opex to Revenue</t>
  </si>
  <si>
    <t>Total Cost to Revenue</t>
  </si>
  <si>
    <t>EBITDA Margin</t>
  </si>
  <si>
    <t>EBIT Margin</t>
  </si>
  <si>
    <t>PAT Margin</t>
  </si>
  <si>
    <t>▲14,0%</t>
  </si>
  <si>
    <t>Total Wholesale (excl. Interconnect)</t>
  </si>
  <si>
    <t>ICT Revenue</t>
  </si>
  <si>
    <t>▲6,3%</t>
  </si>
  <si>
    <t>71,0%</t>
  </si>
  <si>
    <t>74,3%</t>
  </si>
  <si>
    <t>74,8%</t>
  </si>
  <si>
    <t>75,6%</t>
  </si>
  <si>
    <t>29,0%</t>
  </si>
  <si>
    <t>25,7%</t>
  </si>
  <si>
    <t>25,2%</t>
  </si>
  <si>
    <t>24,4%</t>
  </si>
  <si>
    <t>32,8%</t>
  </si>
  <si>
    <t>31,4%</t>
  </si>
  <si>
    <t>29,9%</t>
  </si>
  <si>
    <t>28,6%</t>
  </si>
  <si>
    <t>61,8%</t>
  </si>
  <si>
    <t>57,0%</t>
  </si>
  <si>
    <t>55,1%</t>
  </si>
  <si>
    <t>53,0%</t>
  </si>
  <si>
    <t>38,3%</t>
  </si>
  <si>
    <t>43,0%</t>
  </si>
  <si>
    <t>44,9%</t>
  </si>
  <si>
    <t>47,0%</t>
  </si>
  <si>
    <t>12,3%</t>
  </si>
  <si>
    <t>18,3%</t>
  </si>
  <si>
    <t>18,7%</t>
  </si>
  <si>
    <t>19,4%</t>
  </si>
  <si>
    <t>3,2%</t>
  </si>
  <si>
    <t>7,5%</t>
  </si>
  <si>
    <t>8,4%</t>
  </si>
  <si>
    <t>9,6%</t>
  </si>
  <si>
    <t>Capex Intensity</t>
  </si>
  <si>
    <t>16,1%</t>
  </si>
  <si>
    <t>26,4%</t>
  </si>
  <si>
    <t>21,3%</t>
  </si>
  <si>
    <t>18,2%</t>
  </si>
  <si>
    <t>Act'25</t>
  </si>
  <si>
    <t>5+7 FC 2026</t>
  </si>
  <si>
    <t>Bud'27
vs
5+7 FC 2026</t>
  </si>
  <si>
    <t>5+7 FC 2026
vs
Bud'26</t>
  </si>
  <si>
    <t>5+7 FC 2026
vs
Act'25</t>
  </si>
  <si>
    <t>Act'25 vs Act'24</t>
  </si>
  <si>
    <t>Key Assumptions</t>
  </si>
  <si>
    <t xml:space="preserve">CA </t>
  </si>
  <si>
    <t xml:space="preserve">Remise </t>
  </si>
  <si>
    <t>Comm Staff</t>
  </si>
  <si>
    <t>IFRS 15 &amp; Others</t>
  </si>
  <si>
    <t>CA</t>
  </si>
  <si>
    <t>Remise</t>
  </si>
  <si>
    <t>IFRS 16</t>
  </si>
  <si>
    <t>IFRS 15</t>
  </si>
  <si>
    <t xml:space="preserve">Exchange </t>
  </si>
  <si>
    <t>IFRS 9</t>
  </si>
  <si>
    <t>IFRS 16-Amort</t>
  </si>
  <si>
    <t>Depreciation</t>
  </si>
  <si>
    <t>IFRS 16-interest</t>
  </si>
  <si>
    <t>PBT</t>
  </si>
  <si>
    <t>Tax ( Deffered tax)</t>
  </si>
  <si>
    <t>PAT</t>
  </si>
  <si>
    <t>▲17,2%</t>
  </si>
  <si>
    <t>COS</t>
  </si>
  <si>
    <t>Opex</t>
  </si>
  <si>
    <t>Dep</t>
  </si>
  <si>
    <t>Rev</t>
  </si>
  <si>
    <t>Tax</t>
  </si>
  <si>
    <t>Cos</t>
  </si>
  <si>
    <t>Inter</t>
  </si>
  <si>
    <t>OHADA BUSINESS PLAN</t>
  </si>
  <si>
    <t>IFRS BUSINESS PLAN</t>
  </si>
  <si>
    <t>Adjustments</t>
  </si>
  <si>
    <t>OHADA</t>
  </si>
  <si>
    <t>IFRS</t>
  </si>
  <si>
    <t>GAP</t>
  </si>
  <si>
    <t>CHIFFRE D'AFFAIRES</t>
  </si>
  <si>
    <t>EXCEDENT BRUT D'EXPLOITATION</t>
  </si>
  <si>
    <t>RESULTAT D'EXPLOITATION</t>
  </si>
  <si>
    <t>Bénéfice Avant Intérêts et Impôts</t>
  </si>
  <si>
    <t>RESULTAT AVANT IMPOT</t>
  </si>
  <si>
    <t>RESULTAT NET</t>
  </si>
  <si>
    <t>IFRS 15 &amp; others</t>
  </si>
  <si>
    <t>IFRS 16 Interest</t>
  </si>
  <si>
    <t>Comments</t>
  </si>
  <si>
    <t>1)- Difference provenant de la gratuité au Staff/ Personnel/ Administrateur ( livraison a soi meme) qui troune autour de XOF 300 Mn: Impact diminution du revenue IFRS car c'est pas considéré comme du revenue, en OHADA passé en charges
2)- Remise sur vente ( recharges physique, appareil, sur les devices) pas tres significatif depuis Mars 2024 avec le changement de mode de vente par Momo.* Diminution du revenue OHADA car Remises viennent en diminution du revenue et en IFRS en commissions ( XOF 38mn)
3)- IFRS 15 ( Offre dans lesquel on a des telephones gratuitement), IFRS revenue est superieur à OHADA car le revenue du device est passé automatiquemeny alors que en OHADA c'est zero. En moyenne nous sommes à XOF 30 mn par an</t>
  </si>
  <si>
    <t>1)- IFRS 16 : Loyer IHS, Loyer Bureau, Site traité en charges en OHADA mais en IFRS, en application
2)- Remise sur vente  (XOF 38 mn) venant neutraliser l'ecart sur le Revenue
3)- IFRS 15
4)-IFRS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</si>
</sst>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64" formatCode="0.0%"/>
    <numFmt numFmtId="165" formatCode="[Color10]\▲0.0%;[Red]\▼0.0%;\▲0.0%;@"/>
    <numFmt numFmtId="166" formatCode="[Color10]\▲0.0&quot; pp&quot;;[Red]\▼0.0&quot; pp&quot;;\▲0.0&quot; pp&quot;;@"/>
    <numFmt numFmtId="167" formatCode="[Red]\▲0.0%;[Color10]\▼0.0%;[Red]\▲0.0%;@"/>
    <numFmt numFmtId="168" formatCode="[Red]\▲0.0&quot; pp&quot;;[Color10]\▼0.0&quot; pp&quot;;[Red]\▲0.0&quot; pp&quot;;@"/>
    <numFmt numFmtId="169" formatCode="[Color2]\▲0.0%;[Red]\▼0.0%;[Color2]\▲0.0%;@"/>
    <numFmt numFmtId="170" formatCode="#\ ##0"/>
    <numFmt numFmtId="171" formatCode="_-* #,##0_-;\-* #,##0_-;_-* &quot;-&quot;??_-;_-@_-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rgb="FF404040"/>
      <name val="Arial Narrow"/>
    </font>
    <font>
      <b/>
      <u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8"/>
      <color rgb="FF000000"/>
      <name val="Arial"/>
      <family val="2"/>
    </font>
    <font>
      <sz val="8"/>
      <color theme="1"/>
      <name val="Aptos Narrow"/>
      <family val="2"/>
      <scheme val="minor"/>
    </font>
    <font>
      <b/>
      <sz val="8"/>
      <color rgb="FF00AFEF"/>
      <name val="Arial"/>
      <family val="2"/>
    </font>
    <font>
      <b/>
      <sz val="8"/>
      <color rgb="FFFEFEFE"/>
      <name val="Arial Narrow"/>
      <family val="2"/>
    </font>
    <font>
      <b/>
      <sz val="8"/>
      <color rgb="FF000000"/>
      <name val="Arial Narrow"/>
      <family val="2"/>
    </font>
    <font>
      <b/>
      <sz val="8"/>
      <color rgb="FF404040"/>
      <name val="Arial Narrow"/>
      <family val="2"/>
    </font>
    <font>
      <sz val="8"/>
      <color rgb="FF000000"/>
      <name val="Arial Narrow"/>
      <family val="2"/>
    </font>
    <font>
      <sz val="8"/>
      <color rgb="FF404040"/>
      <name val="Arial Narrow"/>
      <family val="2"/>
    </font>
    <font>
      <b/>
      <sz val="8"/>
      <color rgb="FFFFC000"/>
      <name val="Arial"/>
      <family val="2"/>
    </font>
    <font>
      <b/>
      <sz val="8"/>
      <color theme="0"/>
      <name val="Aptos Narrow"/>
      <family val="2"/>
      <scheme val="minor"/>
    </font>
    <font>
      <b/>
      <sz val="9"/>
      <color indexed="8"/>
      <name val="Arial"/>
      <family val="2"/>
    </font>
    <font>
      <sz val="12"/>
      <color rgb="FF000000"/>
      <name val="Aptos"/>
      <family val="2"/>
    </font>
    <font>
      <b/>
      <sz val="11"/>
      <color indexed="8"/>
      <name val="Aptos Narrow"/>
      <family val="2"/>
      <scheme val="minor"/>
    </font>
    <font>
      <sz val="9"/>
      <color indexed="8"/>
      <name val="Arial"/>
      <family val="2"/>
    </font>
    <font>
      <b/>
      <sz val="9"/>
      <color rgb="FF1A1A1A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b/>
      <sz val="9"/>
      <color rgb="FF000000"/>
      <name val="Aptos Narrow"/>
      <family val="2"/>
      <scheme val="minor"/>
    </font>
    <font>
      <b/>
      <sz val="9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95959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</fills>
  <borders count="69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000000"/>
      </right>
      <top style="thin">
        <color rgb="FFBFBFBF"/>
      </top>
      <bottom style="thin">
        <color rgb="FFBFBFBF"/>
      </bottom>
      <diagonal/>
    </border>
    <border>
      <left style="thin">
        <color rgb="FFBEBEBE"/>
      </left>
      <right/>
      <top style="thin">
        <color rgb="FFBEBEBE"/>
      </top>
      <bottom style="thin">
        <color rgb="FFBEBEBE"/>
      </bottom>
      <diagonal/>
    </border>
    <border>
      <left style="thin">
        <color rgb="FFBEBEBE"/>
      </left>
      <right/>
      <top style="thin">
        <color rgb="FFBEBEBE"/>
      </top>
      <bottom/>
      <diagonal/>
    </border>
    <border>
      <left style="thin">
        <color rgb="FFBEBEBE"/>
      </left>
      <right/>
      <top/>
      <bottom style="thin">
        <color rgb="FFBEBEBE"/>
      </bottom>
      <diagonal/>
    </border>
    <border>
      <left style="thin">
        <color rgb="FFBEBEBE"/>
      </left>
      <right style="thin">
        <color rgb="FFBEBEBE"/>
      </right>
      <top style="thin">
        <color rgb="FFBEBEBE"/>
      </top>
      <bottom style="thin">
        <color rgb="FFBEBEBE"/>
      </bottom>
      <diagonal/>
    </border>
    <border>
      <left/>
      <right style="thin">
        <color rgb="FFBEBEBE"/>
      </right>
      <top style="thin">
        <color rgb="FFBEBEBE"/>
      </top>
      <bottom/>
      <diagonal/>
    </border>
    <border>
      <left/>
      <right style="thin">
        <color rgb="FFBEBEBE"/>
      </right>
      <top/>
      <bottom style="thin">
        <color rgb="FFBEBEBE"/>
      </bottom>
      <diagonal/>
    </border>
    <border>
      <left/>
      <right style="thin">
        <color rgb="FFBEBEBE"/>
      </right>
      <top style="thin">
        <color rgb="FFBEBEBE"/>
      </top>
      <bottom style="thin">
        <color rgb="FFBEBEBE"/>
      </bottom>
      <diagonal/>
    </border>
    <border>
      <left style="thin">
        <color rgb="FFBEBEBE"/>
      </left>
      <right style="medium">
        <color rgb="FF000000"/>
      </right>
      <top style="thin">
        <color rgb="FFBEBEBE"/>
      </top>
      <bottom style="thin">
        <color rgb="FFBEBEBE"/>
      </bottom>
      <diagonal/>
    </border>
    <border>
      <left style="thin">
        <color rgb="FFBEBEBE"/>
      </left>
      <right style="medium">
        <color rgb="FF000000"/>
      </right>
      <top/>
      <bottom style="thin">
        <color rgb="FFBEBEBE"/>
      </bottom>
      <diagonal/>
    </border>
    <border>
      <left style="thin">
        <color rgb="FFBEBEBE"/>
      </left>
      <right style="thin">
        <color rgb="FFBEBEBE"/>
      </right>
      <top/>
      <bottom style="thin">
        <color rgb="FFBEBEBE"/>
      </bottom>
      <diagonal/>
    </border>
    <border>
      <left style="thin">
        <color rgb="FFBEBEBE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BEBEBE"/>
      </right>
      <top style="medium">
        <color rgb="FF000000"/>
      </top>
      <bottom style="medium">
        <color rgb="FF000000"/>
      </bottom>
      <diagonal/>
    </border>
    <border>
      <left style="thin">
        <color rgb="FFBEBEBE"/>
      </left>
      <right style="thin">
        <color rgb="FFBEBEBE"/>
      </right>
      <top style="medium">
        <color rgb="FF000000"/>
      </top>
      <bottom style="medium">
        <color rgb="FF000000"/>
      </bottom>
      <diagonal/>
    </border>
    <border>
      <left style="thin">
        <color rgb="FFBEBEBE"/>
      </left>
      <right/>
      <top style="medium">
        <color rgb="FF000000"/>
      </top>
      <bottom style="medium">
        <color rgb="FF000000"/>
      </bottom>
      <diagonal/>
    </border>
    <border>
      <left style="thin">
        <color rgb="FFBEBEBE"/>
      </left>
      <right style="medium">
        <color rgb="FF000000"/>
      </right>
      <top style="thin">
        <color rgb="FFBEBEBE"/>
      </top>
      <bottom/>
      <diagonal/>
    </border>
    <border>
      <left style="thin">
        <color rgb="FFBEBEBE"/>
      </left>
      <right style="thin">
        <color rgb="FFBEBEBE"/>
      </right>
      <top style="thin">
        <color rgb="FFBEBEBE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BEBEBE"/>
      </bottom>
      <diagonal/>
    </border>
    <border>
      <left style="medium">
        <color rgb="FF000000"/>
      </left>
      <right style="medium">
        <color rgb="FF000000"/>
      </right>
      <top style="thin">
        <color rgb="FFBEBEBE"/>
      </top>
      <bottom style="thin">
        <color rgb="FFBEBEBE"/>
      </bottom>
      <diagonal/>
    </border>
    <border>
      <left style="medium">
        <color rgb="FF000000"/>
      </left>
      <right style="medium">
        <color rgb="FF000000"/>
      </right>
      <top style="thin">
        <color rgb="FFBEBEBE"/>
      </top>
      <bottom/>
      <diagonal/>
    </border>
    <border>
      <left style="medium">
        <color rgb="FF000000"/>
      </left>
      <right style="thin">
        <color theme="0"/>
      </right>
      <top style="medium">
        <color rgb="FF000000"/>
      </top>
      <bottom/>
      <diagonal/>
    </border>
    <border>
      <left style="medium">
        <color indexed="64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/>
      <right style="thin">
        <color rgb="FFBEBEBE"/>
      </right>
      <top/>
      <bottom style="medium">
        <color indexed="64"/>
      </bottom>
      <diagonal/>
    </border>
    <border>
      <left style="thin">
        <color rgb="FFBEBEBE"/>
      </left>
      <right style="thin">
        <color rgb="FFBEBEBE"/>
      </right>
      <top/>
      <bottom style="medium">
        <color indexed="64"/>
      </bottom>
      <diagonal/>
    </border>
    <border>
      <left style="thin">
        <color rgb="FFBEBEBE"/>
      </left>
      <right/>
      <top/>
      <bottom style="medium">
        <color indexed="64"/>
      </bottom>
      <diagonal/>
    </border>
    <border>
      <left style="thin">
        <color rgb="FFBEBEBE"/>
      </left>
      <right style="thin">
        <color theme="0"/>
      </right>
      <top/>
      <bottom style="medium">
        <color indexed="64"/>
      </bottom>
      <diagonal/>
    </border>
    <border>
      <left style="thin">
        <color theme="0"/>
      </left>
      <right style="thin">
        <color rgb="FFBEBEBE"/>
      </right>
      <top style="medium">
        <color rgb="FF000000"/>
      </top>
      <bottom style="thin">
        <color theme="0"/>
      </bottom>
      <diagonal/>
    </border>
    <border>
      <left style="thin">
        <color rgb="FFBEBEBE"/>
      </left>
      <right style="thin">
        <color rgb="FFBEBEBE"/>
      </right>
      <top style="medium">
        <color rgb="FF000000"/>
      </top>
      <bottom style="thin">
        <color theme="0"/>
      </bottom>
      <diagonal/>
    </border>
    <border>
      <left style="thin">
        <color rgb="FFBEBEBE"/>
      </left>
      <right/>
      <top style="medium">
        <color rgb="FF000000"/>
      </top>
      <bottom style="thin">
        <color theme="0"/>
      </bottom>
      <diagonal/>
    </border>
    <border>
      <left style="thin">
        <color rgb="FFBEBEBE"/>
      </left>
      <right style="thin">
        <color theme="0"/>
      </right>
      <top style="medium">
        <color rgb="FF000000"/>
      </top>
      <bottom style="thin">
        <color theme="0"/>
      </bottom>
      <diagonal/>
    </border>
    <border>
      <left style="thin">
        <color rgb="FFBEBEBE"/>
      </left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rgb="FFBEBEBE"/>
      </right>
      <top style="thin">
        <color theme="0"/>
      </top>
      <bottom style="thin">
        <color theme="0"/>
      </bottom>
      <diagonal/>
    </border>
    <border>
      <left style="thin">
        <color rgb="FFBEBEBE"/>
      </left>
      <right style="thin">
        <color rgb="FFBEBEBE"/>
      </right>
      <top style="thin">
        <color theme="0"/>
      </top>
      <bottom style="thin">
        <color theme="0"/>
      </bottom>
      <diagonal/>
    </border>
    <border>
      <left style="thin">
        <color rgb="FFBEBEBE"/>
      </left>
      <right/>
      <top style="thin">
        <color theme="0"/>
      </top>
      <bottom style="thin">
        <color theme="0"/>
      </bottom>
      <diagonal/>
    </border>
    <border>
      <left style="thin">
        <color rgb="FFBEBEBE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thin">
        <color rgb="FFBEBEBE"/>
      </bottom>
      <diagonal/>
    </border>
    <border>
      <left style="medium">
        <color rgb="FF000000"/>
      </left>
      <right/>
      <top style="thin">
        <color rgb="FFBEBEBE"/>
      </top>
      <bottom style="thin">
        <color rgb="FFBEBEBE"/>
      </bottom>
      <diagonal/>
    </border>
    <border>
      <left style="medium">
        <color rgb="FF000000"/>
      </left>
      <right/>
      <top style="thin">
        <color rgb="FFBEBEBE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BEBEBE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rgb="FFBEBEBE"/>
      </right>
      <top style="medium">
        <color indexed="64"/>
      </top>
      <bottom style="thin">
        <color theme="0"/>
      </bottom>
      <diagonal/>
    </border>
    <border>
      <left style="thin">
        <color rgb="FFBEBEBE"/>
      </left>
      <right style="thin">
        <color rgb="FFBEBEBE"/>
      </right>
      <top style="medium">
        <color indexed="64"/>
      </top>
      <bottom style="thin">
        <color theme="0"/>
      </bottom>
      <diagonal/>
    </border>
    <border>
      <left style="thin">
        <color rgb="FFBEBEBE"/>
      </left>
      <right/>
      <top style="medium">
        <color indexed="64"/>
      </top>
      <bottom style="thin">
        <color theme="0"/>
      </bottom>
      <diagonal/>
    </border>
    <border>
      <left style="thin">
        <color rgb="FFBEBEBE"/>
      </left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thin">
        <color rgb="FFBEBEBE"/>
      </right>
      <top/>
      <bottom style="medium">
        <color indexed="64"/>
      </bottom>
      <diagonal/>
    </border>
    <border>
      <left style="medium">
        <color indexed="64"/>
      </left>
      <right style="thin">
        <color rgb="FFBEBEBE"/>
      </right>
      <top/>
      <bottom style="thin">
        <color rgb="FFBEBEBE"/>
      </bottom>
      <diagonal/>
    </border>
    <border>
      <left/>
      <right style="medium">
        <color indexed="64"/>
      </right>
      <top/>
      <bottom style="thin">
        <color rgb="FFBEBEBE"/>
      </bottom>
      <diagonal/>
    </border>
    <border>
      <left style="medium">
        <color indexed="64"/>
      </left>
      <right style="thin">
        <color rgb="FFBEBEBE"/>
      </right>
      <top style="thin">
        <color rgb="FFBEBEBE"/>
      </top>
      <bottom style="thin">
        <color rgb="FFBEBEBE"/>
      </bottom>
      <diagonal/>
    </border>
    <border>
      <left/>
      <right style="medium">
        <color indexed="64"/>
      </right>
      <top style="thin">
        <color rgb="FFBEBEBE"/>
      </top>
      <bottom style="thin">
        <color rgb="FFBEBEBE"/>
      </bottom>
      <diagonal/>
    </border>
    <border>
      <left style="thin">
        <color rgb="FFBEBEBE"/>
      </left>
      <right style="medium">
        <color indexed="64"/>
      </right>
      <top style="thin">
        <color rgb="FFBEBEBE"/>
      </top>
      <bottom style="thin">
        <color rgb="FFBEBEBE"/>
      </bottom>
      <diagonal/>
    </border>
    <border>
      <left style="medium">
        <color indexed="64"/>
      </left>
      <right style="thin">
        <color rgb="FFBEBEBE"/>
      </right>
      <top style="thin">
        <color rgb="FFBEBEBE"/>
      </top>
      <bottom/>
      <diagonal/>
    </border>
    <border>
      <left style="thin">
        <color rgb="FFBEBEBE"/>
      </left>
      <right style="medium">
        <color indexed="64"/>
      </right>
      <top style="thin">
        <color rgb="FFBEBEBE"/>
      </top>
      <bottom/>
      <diagonal/>
    </border>
    <border>
      <left style="medium">
        <color indexed="64"/>
      </left>
      <right style="thin">
        <color rgb="FFBEBEBE"/>
      </right>
      <top style="medium">
        <color rgb="FF000000"/>
      </top>
      <bottom style="medium">
        <color indexed="64"/>
      </bottom>
      <diagonal/>
    </border>
    <border>
      <left style="thin">
        <color rgb="FFBEBEBE"/>
      </left>
      <right style="thin">
        <color rgb="FFBEBEBE"/>
      </right>
      <top style="medium">
        <color rgb="FF000000"/>
      </top>
      <bottom style="medium">
        <color indexed="64"/>
      </bottom>
      <diagonal/>
    </border>
    <border>
      <left style="thin">
        <color rgb="FFBEBEBE"/>
      </left>
      <right/>
      <top style="medium">
        <color rgb="FF000000"/>
      </top>
      <bottom style="medium">
        <color indexed="64"/>
      </bottom>
      <diagonal/>
    </border>
    <border>
      <left style="thin">
        <color rgb="FFBEBEBE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8">
    <xf numFmtId="0" fontId="0" fillId="0" borderId="0" xfId="0"/>
    <xf numFmtId="0" fontId="3" fillId="7" borderId="7" xfId="0" applyFont="1" applyFill="1" applyBorder="1" applyAlignment="1">
      <alignment horizontal="center" vertical="center"/>
    </xf>
    <xf numFmtId="0" fontId="3" fillId="7" borderId="13" xfId="0" applyFont="1" applyFill="1" applyBorder="1" applyAlignment="1">
      <alignment horizontal="center" vertical="center"/>
    </xf>
    <xf numFmtId="0" fontId="4" fillId="0" borderId="0" xfId="0" applyFont="1"/>
    <xf numFmtId="171" fontId="0" fillId="10" borderId="0" xfId="1" applyNumberFormat="1" applyFont="1" applyFill="1"/>
    <xf numFmtId="171" fontId="0" fillId="0" borderId="0" xfId="1" applyNumberFormat="1" applyFont="1"/>
    <xf numFmtId="171" fontId="0" fillId="11" borderId="0" xfId="0" applyNumberFormat="1" applyFill="1"/>
    <xf numFmtId="171" fontId="0" fillId="10" borderId="0" xfId="0" applyNumberFormat="1" applyFill="1"/>
    <xf numFmtId="171" fontId="0" fillId="0" borderId="0" xfId="0" applyNumberFormat="1"/>
    <xf numFmtId="171" fontId="0" fillId="12" borderId="0" xfId="0" applyNumberFormat="1" applyFill="1"/>
    <xf numFmtId="171" fontId="0" fillId="0" borderId="0" xfId="1" applyNumberFormat="1" applyFont="1" applyAlignment="1">
      <alignment horizontal="right"/>
    </xf>
    <xf numFmtId="171" fontId="0" fillId="12" borderId="0" xfId="1" applyNumberFormat="1" applyFont="1" applyFill="1" applyAlignment="1">
      <alignment horizontal="right"/>
    </xf>
    <xf numFmtId="171" fontId="0" fillId="11" borderId="0" xfId="1" applyNumberFormat="1" applyFont="1" applyFill="1" applyAlignment="1">
      <alignment horizontal="right"/>
    </xf>
    <xf numFmtId="171" fontId="0" fillId="11" borderId="0" xfId="1" applyNumberFormat="1" applyFont="1" applyFill="1"/>
    <xf numFmtId="41" fontId="0" fillId="0" borderId="0" xfId="0" applyNumberFormat="1"/>
    <xf numFmtId="0" fontId="5" fillId="0" borderId="0" xfId="0" applyFont="1"/>
    <xf numFmtId="0" fontId="6" fillId="0" borderId="0" xfId="0" applyFont="1" applyAlignment="1">
      <alignment vertical="center"/>
    </xf>
    <xf numFmtId="0" fontId="7" fillId="0" borderId="0" xfId="0" applyFont="1"/>
    <xf numFmtId="0" fontId="7" fillId="0" borderId="0" xfId="0" applyFont="1"/>
    <xf numFmtId="0" fontId="9" fillId="2" borderId="25" xfId="0" applyFont="1" applyFill="1" applyBorder="1" applyAlignment="1">
      <alignment horizontal="center" vertical="center"/>
    </xf>
    <xf numFmtId="0" fontId="9" fillId="2" borderId="31" xfId="0" applyFont="1" applyFill="1" applyBorder="1" applyAlignment="1">
      <alignment horizontal="center" vertical="center"/>
    </xf>
    <xf numFmtId="0" fontId="9" fillId="2" borderId="32" xfId="0" applyFont="1" applyFill="1" applyBorder="1" applyAlignment="1">
      <alignment horizontal="center" vertical="center"/>
    </xf>
    <xf numFmtId="0" fontId="9" fillId="2" borderId="33" xfId="0" applyFont="1" applyFill="1" applyBorder="1" applyAlignment="1">
      <alignment horizontal="center" vertical="center"/>
    </xf>
    <xf numFmtId="0" fontId="9" fillId="2" borderId="34" xfId="0" applyFont="1" applyFill="1" applyBorder="1" applyAlignment="1">
      <alignment horizontal="center" vertical="center"/>
    </xf>
    <xf numFmtId="0" fontId="9" fillId="2" borderId="36" xfId="0" applyFont="1" applyFill="1" applyBorder="1" applyAlignment="1">
      <alignment horizontal="center" vertical="center"/>
    </xf>
    <xf numFmtId="0" fontId="9" fillId="2" borderId="37" xfId="0" applyFont="1" applyFill="1" applyBorder="1" applyAlignment="1">
      <alignment horizontal="center" vertical="center"/>
    </xf>
    <xf numFmtId="0" fontId="9" fillId="2" borderId="38" xfId="0" applyFont="1" applyFill="1" applyBorder="1" applyAlignment="1">
      <alignment horizontal="center" vertical="center"/>
    </xf>
    <xf numFmtId="0" fontId="9" fillId="2" borderId="39" xfId="0" applyFont="1" applyFill="1" applyBorder="1" applyAlignment="1">
      <alignment horizontal="center" vertical="center"/>
    </xf>
    <xf numFmtId="0" fontId="9" fillId="2" borderId="40" xfId="0" applyFont="1" applyFill="1" applyBorder="1" applyAlignment="1">
      <alignment horizontal="center" vertical="center"/>
    </xf>
    <xf numFmtId="0" fontId="9" fillId="2" borderId="47" xfId="0" applyFont="1" applyFill="1" applyBorder="1" applyAlignment="1">
      <alignment horizontal="center" vertical="center"/>
    </xf>
    <xf numFmtId="0" fontId="9" fillId="2" borderId="48" xfId="0" applyFont="1" applyFill="1" applyBorder="1" applyAlignment="1">
      <alignment horizontal="center" vertical="center"/>
    </xf>
    <xf numFmtId="0" fontId="9" fillId="2" borderId="49" xfId="0" applyFont="1" applyFill="1" applyBorder="1" applyAlignment="1">
      <alignment horizontal="center" vertical="center"/>
    </xf>
    <xf numFmtId="0" fontId="9" fillId="2" borderId="50" xfId="0" applyFont="1" applyFill="1" applyBorder="1" applyAlignment="1">
      <alignment horizontal="center" vertical="center"/>
    </xf>
    <xf numFmtId="0" fontId="9" fillId="2" borderId="46" xfId="0" applyFont="1" applyFill="1" applyBorder="1" applyAlignment="1">
      <alignment horizontal="center" vertical="center"/>
    </xf>
    <xf numFmtId="0" fontId="9" fillId="2" borderId="26" xfId="0" applyFont="1" applyFill="1" applyBorder="1" applyAlignment="1">
      <alignment horizontal="center" vertical="center" wrapText="1"/>
    </xf>
    <xf numFmtId="0" fontId="9" fillId="2" borderId="27" xfId="0" applyFont="1" applyFill="1" applyBorder="1" applyAlignment="1">
      <alignment horizontal="center" vertical="center" wrapText="1"/>
    </xf>
    <xf numFmtId="0" fontId="9" fillId="2" borderId="28" xfId="0" applyFont="1" applyFill="1" applyBorder="1" applyAlignment="1">
      <alignment horizontal="center" vertical="center" wrapText="1"/>
    </xf>
    <xf numFmtId="0" fontId="10" fillId="3" borderId="28" xfId="0" applyFont="1" applyFill="1" applyBorder="1" applyAlignment="1">
      <alignment horizontal="center" vertical="center" wrapText="1"/>
    </xf>
    <xf numFmtId="0" fontId="10" fillId="3" borderId="29" xfId="0" applyFont="1" applyFill="1" applyBorder="1" applyAlignment="1">
      <alignment horizontal="center" vertical="center" wrapText="1"/>
    </xf>
    <xf numFmtId="0" fontId="9" fillId="2" borderId="29" xfId="0" applyFont="1" applyFill="1" applyBorder="1" applyAlignment="1">
      <alignment horizontal="center" vertical="center" wrapText="1"/>
    </xf>
    <xf numFmtId="0" fontId="9" fillId="2" borderId="30" xfId="0" applyFont="1" applyFill="1" applyBorder="1" applyAlignment="1">
      <alignment horizontal="center" vertical="center" wrapText="1"/>
    </xf>
    <xf numFmtId="0" fontId="9" fillId="2" borderId="35" xfId="0" applyFont="1" applyFill="1" applyBorder="1" applyAlignment="1">
      <alignment horizontal="center" vertical="center" wrapText="1"/>
    </xf>
    <xf numFmtId="0" fontId="9" fillId="2" borderId="41" xfId="0" applyFont="1" applyFill="1" applyBorder="1" applyAlignment="1">
      <alignment horizontal="center" vertical="center" wrapText="1"/>
    </xf>
    <xf numFmtId="0" fontId="9" fillId="2" borderId="51" xfId="0" applyFont="1" applyFill="1" applyBorder="1" applyAlignment="1">
      <alignment horizontal="center" vertical="center" wrapText="1"/>
    </xf>
    <xf numFmtId="0" fontId="10" fillId="7" borderId="22" xfId="0" applyFont="1" applyFill="1" applyBorder="1" applyAlignment="1">
      <alignment horizontal="left" vertical="center"/>
    </xf>
    <xf numFmtId="170" fontId="10" fillId="7" borderId="10" xfId="0" applyNumberFormat="1" applyFont="1" applyFill="1" applyBorder="1" applyAlignment="1">
      <alignment horizontal="right" vertical="center"/>
    </xf>
    <xf numFmtId="170" fontId="10" fillId="7" borderId="7" xfId="0" applyNumberFormat="1" applyFont="1" applyFill="1" applyBorder="1" applyAlignment="1">
      <alignment horizontal="right" vertical="center"/>
    </xf>
    <xf numFmtId="170" fontId="10" fillId="7" borderId="14" xfId="0" applyNumberFormat="1" applyFont="1" applyFill="1" applyBorder="1" applyAlignment="1">
      <alignment horizontal="right" vertical="center"/>
    </xf>
    <xf numFmtId="170" fontId="10" fillId="7" borderId="13" xfId="0" applyNumberFormat="1" applyFont="1" applyFill="1" applyBorder="1" applyAlignment="1">
      <alignment horizontal="right" vertical="center"/>
    </xf>
    <xf numFmtId="0" fontId="11" fillId="7" borderId="10" xfId="0" applyFont="1" applyFill="1" applyBorder="1" applyAlignment="1">
      <alignment horizontal="center" vertical="center"/>
    </xf>
    <xf numFmtId="0" fontId="11" fillId="7" borderId="14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center" vertical="center"/>
    </xf>
    <xf numFmtId="0" fontId="11" fillId="7" borderId="13" xfId="0" applyFont="1" applyFill="1" applyBorder="1" applyAlignment="1">
      <alignment horizontal="center" vertical="center"/>
    </xf>
    <xf numFmtId="171" fontId="7" fillId="0" borderId="0" xfId="1" applyNumberFormat="1" applyFont="1"/>
    <xf numFmtId="0" fontId="10" fillId="7" borderId="42" xfId="0" applyFont="1" applyFill="1" applyBorder="1" applyAlignment="1">
      <alignment horizontal="left" vertical="center"/>
    </xf>
    <xf numFmtId="170" fontId="10" fillId="7" borderId="52" xfId="0" applyNumberFormat="1" applyFont="1" applyFill="1" applyBorder="1" applyAlignment="1">
      <alignment horizontal="right" vertical="center"/>
    </xf>
    <xf numFmtId="170" fontId="10" fillId="7" borderId="53" xfId="0" applyNumberFormat="1" applyFont="1" applyFill="1" applyBorder="1" applyAlignment="1">
      <alignment horizontal="right" vertical="center"/>
    </xf>
    <xf numFmtId="0" fontId="10" fillId="8" borderId="23" xfId="0" applyFont="1" applyFill="1" applyBorder="1" applyAlignment="1">
      <alignment horizontal="left" vertical="center"/>
    </xf>
    <xf numFmtId="170" fontId="10" fillId="8" borderId="11" xfId="0" applyNumberFormat="1" applyFont="1" applyFill="1" applyBorder="1" applyAlignment="1">
      <alignment horizontal="right" vertical="center"/>
    </xf>
    <xf numFmtId="170" fontId="10" fillId="8" borderId="5" xfId="0" applyNumberFormat="1" applyFont="1" applyFill="1" applyBorder="1" applyAlignment="1">
      <alignment horizontal="right" vertical="center"/>
    </xf>
    <xf numFmtId="170" fontId="10" fillId="8" borderId="8" xfId="0" applyNumberFormat="1" applyFont="1" applyFill="1" applyBorder="1" applyAlignment="1">
      <alignment horizontal="right" vertical="center"/>
    </xf>
    <xf numFmtId="170" fontId="10" fillId="8" borderId="12" xfId="0" applyNumberFormat="1" applyFont="1" applyFill="1" applyBorder="1" applyAlignment="1">
      <alignment horizontal="right" vertical="center"/>
    </xf>
    <xf numFmtId="0" fontId="11" fillId="8" borderId="11" xfId="0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/>
    </xf>
    <xf numFmtId="0" fontId="11" fillId="8" borderId="5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10" fillId="8" borderId="43" xfId="0" applyFont="1" applyFill="1" applyBorder="1" applyAlignment="1">
      <alignment horizontal="left" vertical="center"/>
    </xf>
    <xf numFmtId="170" fontId="10" fillId="8" borderId="54" xfId="0" applyNumberFormat="1" applyFont="1" applyFill="1" applyBorder="1" applyAlignment="1">
      <alignment horizontal="right" vertical="center"/>
    </xf>
    <xf numFmtId="170" fontId="10" fillId="8" borderId="55" xfId="0" applyNumberFormat="1" applyFont="1" applyFill="1" applyBorder="1" applyAlignment="1">
      <alignment horizontal="right" vertical="center"/>
    </xf>
    <xf numFmtId="0" fontId="12" fillId="7" borderId="23" xfId="0" applyFont="1" applyFill="1" applyBorder="1" applyAlignment="1">
      <alignment horizontal="left" vertical="center" indent="1"/>
    </xf>
    <xf numFmtId="170" fontId="12" fillId="7" borderId="11" xfId="0" applyNumberFormat="1" applyFont="1" applyFill="1" applyBorder="1" applyAlignment="1">
      <alignment horizontal="right" vertical="center"/>
    </xf>
    <xf numFmtId="170" fontId="12" fillId="7" borderId="5" xfId="0" applyNumberFormat="1" applyFont="1" applyFill="1" applyBorder="1" applyAlignment="1">
      <alignment horizontal="right" vertical="center"/>
    </xf>
    <xf numFmtId="170" fontId="12" fillId="7" borderId="8" xfId="0" applyNumberFormat="1" applyFont="1" applyFill="1" applyBorder="1" applyAlignment="1">
      <alignment horizontal="right" vertical="center"/>
    </xf>
    <xf numFmtId="170" fontId="12" fillId="7" borderId="12" xfId="0" applyNumberFormat="1" applyFont="1" applyFill="1" applyBorder="1" applyAlignment="1">
      <alignment horizontal="right" vertical="center"/>
    </xf>
    <xf numFmtId="0" fontId="11" fillId="7" borderId="11" xfId="0" applyFont="1" applyFill="1" applyBorder="1" applyAlignment="1">
      <alignment horizontal="center" vertical="center"/>
    </xf>
    <xf numFmtId="0" fontId="11" fillId="7" borderId="8" xfId="0" applyFont="1" applyFill="1" applyBorder="1" applyAlignment="1">
      <alignment horizontal="center" vertical="center"/>
    </xf>
    <xf numFmtId="0" fontId="11" fillId="7" borderId="5" xfId="0" applyFont="1" applyFill="1" applyBorder="1" applyAlignment="1">
      <alignment horizontal="center" vertical="center"/>
    </xf>
    <xf numFmtId="0" fontId="11" fillId="7" borderId="12" xfId="0" applyFont="1" applyFill="1" applyBorder="1" applyAlignment="1">
      <alignment horizontal="center" vertical="center"/>
    </xf>
    <xf numFmtId="0" fontId="12" fillId="7" borderId="43" xfId="0" applyFont="1" applyFill="1" applyBorder="1" applyAlignment="1">
      <alignment horizontal="left" vertical="center" indent="1"/>
    </xf>
    <xf numFmtId="170" fontId="12" fillId="7" borderId="54" xfId="0" applyNumberFormat="1" applyFont="1" applyFill="1" applyBorder="1" applyAlignment="1">
      <alignment horizontal="right" vertical="center"/>
    </xf>
    <xf numFmtId="170" fontId="12" fillId="7" borderId="55" xfId="0" applyNumberFormat="1" applyFont="1" applyFill="1" applyBorder="1" applyAlignment="1">
      <alignment horizontal="right" vertical="center"/>
    </xf>
    <xf numFmtId="0" fontId="12" fillId="8" borderId="23" xfId="0" applyFont="1" applyFill="1" applyBorder="1" applyAlignment="1">
      <alignment horizontal="left" vertical="center" indent="1"/>
    </xf>
    <xf numFmtId="170" fontId="12" fillId="8" borderId="11" xfId="0" applyNumberFormat="1" applyFont="1" applyFill="1" applyBorder="1" applyAlignment="1">
      <alignment horizontal="right" vertical="center"/>
    </xf>
    <xf numFmtId="170" fontId="12" fillId="8" borderId="5" xfId="0" applyNumberFormat="1" applyFont="1" applyFill="1" applyBorder="1" applyAlignment="1">
      <alignment horizontal="right" vertical="center"/>
    </xf>
    <xf numFmtId="170" fontId="12" fillId="8" borderId="8" xfId="0" applyNumberFormat="1" applyFont="1" applyFill="1" applyBorder="1" applyAlignment="1">
      <alignment horizontal="right" vertical="center"/>
    </xf>
    <xf numFmtId="170" fontId="12" fillId="8" borderId="12" xfId="0" applyNumberFormat="1" applyFont="1" applyFill="1" applyBorder="1" applyAlignment="1">
      <alignment horizontal="right" vertical="center"/>
    </xf>
    <xf numFmtId="0" fontId="12" fillId="8" borderId="43" xfId="0" applyFont="1" applyFill="1" applyBorder="1" applyAlignment="1">
      <alignment horizontal="left" vertical="center" indent="1"/>
    </xf>
    <xf numFmtId="170" fontId="12" fillId="8" borderId="54" xfId="0" applyNumberFormat="1" applyFont="1" applyFill="1" applyBorder="1" applyAlignment="1">
      <alignment horizontal="right" vertical="center"/>
    </xf>
    <xf numFmtId="170" fontId="12" fillId="8" borderId="56" xfId="0" applyNumberFormat="1" applyFont="1" applyFill="1" applyBorder="1" applyAlignment="1">
      <alignment horizontal="right" vertical="center"/>
    </xf>
    <xf numFmtId="0" fontId="12" fillId="7" borderId="23" xfId="0" applyFont="1" applyFill="1" applyBorder="1" applyAlignment="1">
      <alignment horizontal="left" vertical="center"/>
    </xf>
    <xf numFmtId="0" fontId="12" fillId="7" borderId="43" xfId="0" applyFont="1" applyFill="1" applyBorder="1" applyAlignment="1">
      <alignment horizontal="left" vertical="center"/>
    </xf>
    <xf numFmtId="170" fontId="12" fillId="7" borderId="56" xfId="0" applyNumberFormat="1" applyFont="1" applyFill="1" applyBorder="1" applyAlignment="1">
      <alignment horizontal="right" vertical="center"/>
    </xf>
    <xf numFmtId="0" fontId="12" fillId="8" borderId="23" xfId="0" applyFont="1" applyFill="1" applyBorder="1" applyAlignment="1">
      <alignment horizontal="left" vertical="center"/>
    </xf>
    <xf numFmtId="0" fontId="12" fillId="8" borderId="43" xfId="0" applyFont="1" applyFill="1" applyBorder="1" applyAlignment="1">
      <alignment horizontal="left" vertical="center"/>
    </xf>
    <xf numFmtId="0" fontId="10" fillId="7" borderId="23" xfId="0" applyFont="1" applyFill="1" applyBorder="1" applyAlignment="1">
      <alignment horizontal="left" vertical="center"/>
    </xf>
    <xf numFmtId="170" fontId="10" fillId="7" borderId="11" xfId="0" applyNumberFormat="1" applyFont="1" applyFill="1" applyBorder="1" applyAlignment="1">
      <alignment horizontal="right" vertical="center"/>
    </xf>
    <xf numFmtId="0" fontId="10" fillId="7" borderId="43" xfId="0" applyFont="1" applyFill="1" applyBorder="1" applyAlignment="1">
      <alignment horizontal="left" vertical="center"/>
    </xf>
    <xf numFmtId="170" fontId="10" fillId="7" borderId="54" xfId="0" applyNumberFormat="1" applyFont="1" applyFill="1" applyBorder="1" applyAlignment="1">
      <alignment horizontal="right" vertical="center"/>
    </xf>
    <xf numFmtId="170" fontId="10" fillId="7" borderId="55" xfId="0" applyNumberFormat="1" applyFont="1" applyFill="1" applyBorder="1" applyAlignment="1">
      <alignment horizontal="right" vertical="center"/>
    </xf>
    <xf numFmtId="170" fontId="12" fillId="8" borderId="55" xfId="0" applyNumberFormat="1" applyFont="1" applyFill="1" applyBorder="1" applyAlignment="1">
      <alignment horizontal="right" vertical="center"/>
    </xf>
    <xf numFmtId="0" fontId="9" fillId="9" borderId="23" xfId="0" applyFont="1" applyFill="1" applyBorder="1" applyAlignment="1">
      <alignment horizontal="left" vertical="center"/>
    </xf>
    <xf numFmtId="170" fontId="9" fillId="9" borderId="11" xfId="0" applyNumberFormat="1" applyFont="1" applyFill="1" applyBorder="1" applyAlignment="1">
      <alignment horizontal="right" vertical="center"/>
    </xf>
    <xf numFmtId="0" fontId="11" fillId="9" borderId="11" xfId="0" applyFont="1" applyFill="1" applyBorder="1" applyAlignment="1">
      <alignment horizontal="center" vertical="center"/>
    </xf>
    <xf numFmtId="0" fontId="11" fillId="9" borderId="8" xfId="0" applyFont="1" applyFill="1" applyBorder="1" applyAlignment="1">
      <alignment horizontal="center" vertical="center"/>
    </xf>
    <xf numFmtId="0" fontId="11" fillId="9" borderId="5" xfId="0" applyFont="1" applyFill="1" applyBorder="1" applyAlignment="1">
      <alignment horizontal="center" vertical="center"/>
    </xf>
    <xf numFmtId="0" fontId="11" fillId="9" borderId="12" xfId="0" applyFont="1" applyFill="1" applyBorder="1" applyAlignment="1">
      <alignment horizontal="center" vertical="center"/>
    </xf>
    <xf numFmtId="0" fontId="9" fillId="9" borderId="43" xfId="0" applyFont="1" applyFill="1" applyBorder="1" applyAlignment="1">
      <alignment horizontal="left" vertical="center"/>
    </xf>
    <xf numFmtId="170" fontId="9" fillId="9" borderId="54" xfId="0" applyNumberFormat="1" applyFont="1" applyFill="1" applyBorder="1" applyAlignment="1">
      <alignment horizontal="right" vertical="center"/>
    </xf>
    <xf numFmtId="170" fontId="9" fillId="9" borderId="55" xfId="0" applyNumberFormat="1" applyFont="1" applyFill="1" applyBorder="1" applyAlignment="1">
      <alignment horizontal="right" vertical="center"/>
    </xf>
    <xf numFmtId="41" fontId="7" fillId="0" borderId="0" xfId="0" applyNumberFormat="1" applyFont="1"/>
    <xf numFmtId="0" fontId="13" fillId="7" borderId="11" xfId="0" applyFont="1" applyFill="1" applyBorder="1" applyAlignment="1">
      <alignment horizontal="center" vertical="center"/>
    </xf>
    <xf numFmtId="0" fontId="13" fillId="7" borderId="8" xfId="0" applyFont="1" applyFill="1" applyBorder="1" applyAlignment="1">
      <alignment horizontal="center" vertical="center"/>
    </xf>
    <xf numFmtId="0" fontId="13" fillId="7" borderId="5" xfId="0" applyFont="1" applyFill="1" applyBorder="1" applyAlignment="1">
      <alignment horizontal="center" vertical="center"/>
    </xf>
    <xf numFmtId="0" fontId="13" fillId="7" borderId="12" xfId="0" applyFont="1" applyFill="1" applyBorder="1" applyAlignment="1">
      <alignment horizontal="center" vertical="center"/>
    </xf>
    <xf numFmtId="170" fontId="7" fillId="0" borderId="0" xfId="0" applyNumberFormat="1" applyFont="1"/>
    <xf numFmtId="0" fontId="12" fillId="7" borderId="11" xfId="0" applyFont="1" applyFill="1" applyBorder="1" applyAlignment="1">
      <alignment horizontal="right" vertical="center"/>
    </xf>
    <xf numFmtId="0" fontId="12" fillId="7" borderId="8" xfId="0" applyFont="1" applyFill="1" applyBorder="1" applyAlignment="1">
      <alignment horizontal="right" vertical="center"/>
    </xf>
    <xf numFmtId="0" fontId="12" fillId="7" borderId="5" xfId="0" applyFont="1" applyFill="1" applyBorder="1" applyAlignment="1">
      <alignment horizontal="right" vertical="center"/>
    </xf>
    <xf numFmtId="0" fontId="12" fillId="7" borderId="12" xfId="0" applyFont="1" applyFill="1" applyBorder="1" applyAlignment="1">
      <alignment horizontal="right" vertical="center"/>
    </xf>
    <xf numFmtId="0" fontId="12" fillId="7" borderId="54" xfId="0" applyFont="1" applyFill="1" applyBorder="1" applyAlignment="1">
      <alignment horizontal="right" vertical="center"/>
    </xf>
    <xf numFmtId="0" fontId="12" fillId="7" borderId="56" xfId="0" applyFont="1" applyFill="1" applyBorder="1" applyAlignment="1">
      <alignment horizontal="right" vertical="center"/>
    </xf>
    <xf numFmtId="0" fontId="12" fillId="8" borderId="11" xfId="0" applyFont="1" applyFill="1" applyBorder="1" applyAlignment="1">
      <alignment horizontal="right" vertical="center"/>
    </xf>
    <xf numFmtId="9" fontId="12" fillId="8" borderId="8" xfId="2" applyFont="1" applyFill="1" applyBorder="1" applyAlignment="1">
      <alignment horizontal="right" vertical="center"/>
    </xf>
    <xf numFmtId="0" fontId="12" fillId="8" borderId="5" xfId="0" applyFont="1" applyFill="1" applyBorder="1" applyAlignment="1">
      <alignment horizontal="right" vertical="center"/>
    </xf>
    <xf numFmtId="0" fontId="12" fillId="8" borderId="12" xfId="0" applyFont="1" applyFill="1" applyBorder="1" applyAlignment="1">
      <alignment horizontal="right" vertical="center"/>
    </xf>
    <xf numFmtId="0" fontId="12" fillId="8" borderId="54" xfId="0" applyFont="1" applyFill="1" applyBorder="1" applyAlignment="1">
      <alignment horizontal="right" vertical="center"/>
    </xf>
    <xf numFmtId="0" fontId="12" fillId="8" borderId="56" xfId="0" applyFont="1" applyFill="1" applyBorder="1" applyAlignment="1">
      <alignment horizontal="right" vertical="center"/>
    </xf>
    <xf numFmtId="0" fontId="12" fillId="8" borderId="24" xfId="0" applyFont="1" applyFill="1" applyBorder="1" applyAlignment="1">
      <alignment horizontal="left" vertical="center"/>
    </xf>
    <xf numFmtId="0" fontId="12" fillId="8" borderId="9" xfId="0" applyFont="1" applyFill="1" applyBorder="1" applyAlignment="1">
      <alignment horizontal="right" vertical="center"/>
    </xf>
    <xf numFmtId="0" fontId="12" fillId="8" borderId="6" xfId="0" applyFont="1" applyFill="1" applyBorder="1" applyAlignment="1">
      <alignment horizontal="right" vertical="center"/>
    </xf>
    <xf numFmtId="0" fontId="12" fillId="8" borderId="19" xfId="0" applyFont="1" applyFill="1" applyBorder="1" applyAlignment="1">
      <alignment horizontal="right" vertical="center"/>
    </xf>
    <xf numFmtId="0" fontId="11" fillId="8" borderId="9" xfId="0" applyFont="1" applyFill="1" applyBorder="1" applyAlignment="1">
      <alignment horizontal="center" vertical="center"/>
    </xf>
    <xf numFmtId="0" fontId="11" fillId="8" borderId="20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0" fontId="11" fillId="8" borderId="19" xfId="0" applyFont="1" applyFill="1" applyBorder="1" applyAlignment="1">
      <alignment horizontal="center" vertical="center"/>
    </xf>
    <xf numFmtId="0" fontId="12" fillId="8" borderId="44" xfId="0" applyFont="1" applyFill="1" applyBorder="1" applyAlignment="1">
      <alignment horizontal="left" vertical="center"/>
    </xf>
    <xf numFmtId="0" fontId="12" fillId="8" borderId="57" xfId="0" applyFont="1" applyFill="1" applyBorder="1" applyAlignment="1">
      <alignment horizontal="right" vertical="center"/>
    </xf>
    <xf numFmtId="0" fontId="12" fillId="8" borderId="58" xfId="0" applyFont="1" applyFill="1" applyBorder="1" applyAlignment="1">
      <alignment horizontal="right" vertical="center"/>
    </xf>
    <xf numFmtId="0" fontId="12" fillId="7" borderId="21" xfId="0" applyFont="1" applyFill="1" applyBorder="1" applyAlignment="1">
      <alignment horizontal="left" vertical="center"/>
    </xf>
    <xf numFmtId="164" fontId="12" fillId="7" borderId="16" xfId="2" applyNumberFormat="1" applyFont="1" applyFill="1" applyBorder="1" applyAlignment="1">
      <alignment horizontal="right" vertical="center"/>
    </xf>
    <xf numFmtId="164" fontId="12" fillId="7" borderId="17" xfId="2" applyNumberFormat="1" applyFont="1" applyFill="1" applyBorder="1" applyAlignment="1">
      <alignment horizontal="right" vertical="center"/>
    </xf>
    <xf numFmtId="164" fontId="12" fillId="7" borderId="18" xfId="2" applyNumberFormat="1" applyFont="1" applyFill="1" applyBorder="1" applyAlignment="1">
      <alignment horizontal="right" vertical="center"/>
    </xf>
    <xf numFmtId="164" fontId="12" fillId="7" borderId="15" xfId="2" applyNumberFormat="1" applyFont="1" applyFill="1" applyBorder="1" applyAlignment="1">
      <alignment horizontal="right" vertical="center"/>
    </xf>
    <xf numFmtId="0" fontId="11" fillId="7" borderId="16" xfId="0" applyFont="1" applyFill="1" applyBorder="1" applyAlignment="1">
      <alignment horizontal="center" vertical="center"/>
    </xf>
    <xf numFmtId="0" fontId="11" fillId="7" borderId="17" xfId="0" applyFont="1" applyFill="1" applyBorder="1" applyAlignment="1">
      <alignment horizontal="center" vertical="center"/>
    </xf>
    <xf numFmtId="0" fontId="11" fillId="7" borderId="18" xfId="0" applyFont="1" applyFill="1" applyBorder="1" applyAlignment="1">
      <alignment horizontal="center" vertical="center"/>
    </xf>
    <xf numFmtId="0" fontId="11" fillId="7" borderId="15" xfId="0" applyFont="1" applyFill="1" applyBorder="1" applyAlignment="1">
      <alignment horizontal="center" vertical="center"/>
    </xf>
    <xf numFmtId="0" fontId="12" fillId="7" borderId="45" xfId="0" applyFont="1" applyFill="1" applyBorder="1" applyAlignment="1">
      <alignment horizontal="left" vertical="center"/>
    </xf>
    <xf numFmtId="164" fontId="12" fillId="7" borderId="59" xfId="2" applyNumberFormat="1" applyFont="1" applyFill="1" applyBorder="1" applyAlignment="1">
      <alignment horizontal="right" vertical="center"/>
    </xf>
    <xf numFmtId="164" fontId="12" fillId="7" borderId="60" xfId="2" applyNumberFormat="1" applyFont="1" applyFill="1" applyBorder="1" applyAlignment="1">
      <alignment horizontal="right" vertical="center"/>
    </xf>
    <xf numFmtId="164" fontId="12" fillId="7" borderId="61" xfId="2" applyNumberFormat="1" applyFont="1" applyFill="1" applyBorder="1" applyAlignment="1">
      <alignment horizontal="right" vertical="center"/>
    </xf>
    <xf numFmtId="164" fontId="12" fillId="7" borderId="62" xfId="2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center"/>
    </xf>
    <xf numFmtId="0" fontId="15" fillId="13" borderId="0" xfId="0" applyFont="1" applyFill="1" applyAlignment="1">
      <alignment horizontal="center" vertical="center"/>
    </xf>
    <xf numFmtId="0" fontId="8" fillId="0" borderId="63" xfId="0" applyFont="1" applyBorder="1" applyAlignment="1">
      <alignment horizontal="center" vertical="center" wrapText="1"/>
    </xf>
    <xf numFmtId="0" fontId="7" fillId="0" borderId="64" xfId="0" applyFont="1" applyBorder="1" applyAlignment="1">
      <alignment horizontal="center"/>
    </xf>
    <xf numFmtId="0" fontId="7" fillId="0" borderId="65" xfId="0" applyFont="1" applyBorder="1" applyAlignment="1">
      <alignment horizontal="center"/>
    </xf>
    <xf numFmtId="0" fontId="7" fillId="0" borderId="66" xfId="0" applyFont="1" applyBorder="1" applyAlignment="1">
      <alignment horizontal="center"/>
    </xf>
    <xf numFmtId="0" fontId="7" fillId="0" borderId="67" xfId="0" applyFont="1" applyBorder="1" applyAlignment="1">
      <alignment horizontal="center"/>
    </xf>
    <xf numFmtId="0" fontId="7" fillId="0" borderId="68" xfId="0" applyFont="1" applyBorder="1" applyAlignment="1">
      <alignment horizontal="center"/>
    </xf>
    <xf numFmtId="0" fontId="2" fillId="0" borderId="0" xfId="0" applyFont="1"/>
    <xf numFmtId="41" fontId="2" fillId="0" borderId="0" xfId="3" applyFont="1"/>
    <xf numFmtId="0" fontId="16" fillId="0" borderId="0" xfId="0" applyFont="1" applyAlignment="1" applyProtection="1">
      <alignment vertical="center" wrapText="1"/>
      <protection hidden="1"/>
    </xf>
    <xf numFmtId="41" fontId="0" fillId="0" borderId="0" xfId="3" applyFont="1"/>
    <xf numFmtId="0" fontId="16" fillId="0" borderId="0" xfId="0" applyFont="1" applyAlignment="1" applyProtection="1">
      <alignment vertical="center"/>
      <protection hidden="1"/>
    </xf>
    <xf numFmtId="41" fontId="0" fillId="0" borderId="0" xfId="3" applyFont="1" applyFill="1" applyBorder="1"/>
    <xf numFmtId="0" fontId="17" fillId="0" borderId="0" xfId="0" applyFont="1"/>
    <xf numFmtId="9" fontId="0" fillId="0" borderId="0" xfId="0" applyNumberFormat="1"/>
    <xf numFmtId="0" fontId="0" fillId="11" borderId="0" xfId="0" applyFill="1"/>
    <xf numFmtId="171" fontId="0" fillId="12" borderId="0" xfId="1" applyNumberFormat="1" applyFont="1" applyFill="1"/>
    <xf numFmtId="10" fontId="0" fillId="0" borderId="0" xfId="2" applyNumberFormat="1" applyFont="1"/>
    <xf numFmtId="41" fontId="18" fillId="0" borderId="0" xfId="3" applyFont="1"/>
    <xf numFmtId="0" fontId="18" fillId="0" borderId="0" xfId="0" applyFont="1"/>
    <xf numFmtId="41" fontId="19" fillId="0" borderId="0" xfId="3" applyFont="1" applyFill="1" applyBorder="1" applyAlignment="1" applyProtection="1">
      <alignment vertical="center" wrapText="1"/>
      <protection hidden="1"/>
    </xf>
    <xf numFmtId="41" fontId="19" fillId="0" borderId="0" xfId="3" applyFont="1" applyFill="1" applyBorder="1" applyAlignment="1" applyProtection="1">
      <alignment vertical="center"/>
      <protection hidden="1"/>
    </xf>
    <xf numFmtId="41" fontId="0" fillId="0" borderId="0" xfId="3" applyFont="1" applyAlignment="1">
      <alignment vertical="center"/>
    </xf>
    <xf numFmtId="41" fontId="0" fillId="0" borderId="0" xfId="0" applyNumberFormat="1" applyAlignment="1">
      <alignment vertical="center"/>
    </xf>
    <xf numFmtId="0" fontId="0" fillId="0" borderId="0" xfId="0" applyAlignment="1">
      <alignment wrapText="1"/>
    </xf>
    <xf numFmtId="0" fontId="20" fillId="0" borderId="0" xfId="0" applyFont="1"/>
    <xf numFmtId="0" fontId="21" fillId="2" borderId="4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1" xfId="0" applyFont="1" applyFill="1" applyBorder="1" applyAlignment="1">
      <alignment horizontal="center"/>
    </xf>
    <xf numFmtId="0" fontId="21" fillId="2" borderId="4" xfId="0" applyFont="1" applyFill="1" applyBorder="1" applyAlignment="1">
      <alignment horizontal="center"/>
    </xf>
    <xf numFmtId="0" fontId="21" fillId="2" borderId="4" xfId="0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22" fillId="3" borderId="2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3" fillId="6" borderId="4" xfId="0" applyFont="1" applyFill="1" applyBorder="1" applyAlignment="1">
      <alignment horizontal="left"/>
    </xf>
    <xf numFmtId="3" fontId="23" fillId="6" borderId="3" xfId="0" applyNumberFormat="1" applyFont="1" applyFill="1" applyBorder="1" applyAlignment="1">
      <alignment horizontal="center"/>
    </xf>
    <xf numFmtId="3" fontId="23" fillId="6" borderId="2" xfId="0" applyNumberFormat="1" applyFont="1" applyFill="1" applyBorder="1" applyAlignment="1">
      <alignment horizontal="center"/>
    </xf>
    <xf numFmtId="3" fontId="23" fillId="6" borderId="1" xfId="0" applyNumberFormat="1" applyFont="1" applyFill="1" applyBorder="1" applyAlignment="1">
      <alignment horizontal="center"/>
    </xf>
    <xf numFmtId="3" fontId="23" fillId="6" borderId="4" xfId="0" applyNumberFormat="1" applyFont="1" applyFill="1" applyBorder="1" applyAlignment="1">
      <alignment horizontal="center"/>
    </xf>
    <xf numFmtId="165" fontId="5" fillId="6" borderId="2" xfId="0" applyNumberFormat="1" applyFont="1" applyFill="1" applyBorder="1" applyAlignment="1">
      <alignment horizontal="center"/>
    </xf>
    <xf numFmtId="0" fontId="23" fillId="5" borderId="4" xfId="0" applyFont="1" applyFill="1" applyBorder="1" applyAlignment="1">
      <alignment horizontal="left"/>
    </xf>
    <xf numFmtId="3" fontId="23" fillId="5" borderId="3" xfId="0" applyNumberFormat="1" applyFont="1" applyFill="1" applyBorder="1" applyAlignment="1">
      <alignment horizontal="center"/>
    </xf>
    <xf numFmtId="3" fontId="23" fillId="5" borderId="2" xfId="0" applyNumberFormat="1" applyFont="1" applyFill="1" applyBorder="1" applyAlignment="1">
      <alignment horizontal="center"/>
    </xf>
    <xf numFmtId="3" fontId="23" fillId="5" borderId="1" xfId="0" applyNumberFormat="1" applyFont="1" applyFill="1" applyBorder="1" applyAlignment="1">
      <alignment horizontal="center"/>
    </xf>
    <xf numFmtId="3" fontId="23" fillId="5" borderId="4" xfId="0" applyNumberFormat="1" applyFont="1" applyFill="1" applyBorder="1" applyAlignment="1">
      <alignment horizontal="center"/>
    </xf>
    <xf numFmtId="165" fontId="5" fillId="5" borderId="2" xfId="0" applyNumberFormat="1" applyFont="1" applyFill="1" applyBorder="1" applyAlignment="1">
      <alignment horizontal="center"/>
    </xf>
    <xf numFmtId="0" fontId="5" fillId="6" borderId="4" xfId="0" applyFont="1" applyFill="1" applyBorder="1" applyAlignment="1">
      <alignment horizontal="left" indent="1"/>
    </xf>
    <xf numFmtId="3" fontId="5" fillId="6" borderId="3" xfId="0" applyNumberFormat="1" applyFont="1" applyFill="1" applyBorder="1" applyAlignment="1">
      <alignment horizontal="center"/>
    </xf>
    <xf numFmtId="3" fontId="5" fillId="6" borderId="2" xfId="0" applyNumberFormat="1" applyFont="1" applyFill="1" applyBorder="1" applyAlignment="1">
      <alignment horizontal="center"/>
    </xf>
    <xf numFmtId="3" fontId="5" fillId="6" borderId="1" xfId="0" applyNumberFormat="1" applyFont="1" applyFill="1" applyBorder="1" applyAlignment="1">
      <alignment horizontal="center"/>
    </xf>
    <xf numFmtId="3" fontId="5" fillId="6" borderId="4" xfId="0" applyNumberFormat="1" applyFont="1" applyFill="1" applyBorder="1" applyAlignment="1">
      <alignment horizontal="center"/>
    </xf>
    <xf numFmtId="0" fontId="5" fillId="5" borderId="4" xfId="0" applyFont="1" applyFill="1" applyBorder="1" applyAlignment="1">
      <alignment horizontal="left" indent="1"/>
    </xf>
    <xf numFmtId="3" fontId="5" fillId="5" borderId="3" xfId="0" applyNumberFormat="1" applyFont="1" applyFill="1" applyBorder="1" applyAlignment="1">
      <alignment horizontal="center"/>
    </xf>
    <xf numFmtId="3" fontId="5" fillId="5" borderId="2" xfId="0" applyNumberFormat="1" applyFont="1" applyFill="1" applyBorder="1" applyAlignment="1">
      <alignment horizontal="center"/>
    </xf>
    <xf numFmtId="3" fontId="5" fillId="5" borderId="1" xfId="0" applyNumberFormat="1" applyFont="1" applyFill="1" applyBorder="1" applyAlignment="1">
      <alignment horizontal="center"/>
    </xf>
    <xf numFmtId="3" fontId="5" fillId="5" borderId="4" xfId="0" applyNumberFormat="1" applyFont="1" applyFill="1" applyBorder="1" applyAlignment="1">
      <alignment horizontal="center"/>
    </xf>
    <xf numFmtId="0" fontId="5" fillId="5" borderId="4" xfId="0" applyFont="1" applyFill="1" applyBorder="1" applyAlignment="1">
      <alignment horizontal="left" indent="2"/>
    </xf>
    <xf numFmtId="167" fontId="5" fillId="5" borderId="2" xfId="0" applyNumberFormat="1" applyFont="1" applyFill="1" applyBorder="1" applyAlignment="1">
      <alignment horizontal="center"/>
    </xf>
    <xf numFmtId="0" fontId="5" fillId="5" borderId="4" xfId="0" applyFont="1" applyFill="1" applyBorder="1" applyAlignment="1">
      <alignment horizontal="left"/>
    </xf>
    <xf numFmtId="0" fontId="21" fillId="4" borderId="4" xfId="0" applyFont="1" applyFill="1" applyBorder="1" applyAlignment="1">
      <alignment horizontal="left"/>
    </xf>
    <xf numFmtId="3" fontId="21" fillId="4" borderId="3" xfId="0" applyNumberFormat="1" applyFont="1" applyFill="1" applyBorder="1" applyAlignment="1">
      <alignment horizontal="center"/>
    </xf>
    <xf numFmtId="3" fontId="21" fillId="4" borderId="2" xfId="0" applyNumberFormat="1" applyFont="1" applyFill="1" applyBorder="1" applyAlignment="1">
      <alignment horizontal="center"/>
    </xf>
    <xf numFmtId="3" fontId="21" fillId="4" borderId="1" xfId="0" applyNumberFormat="1" applyFont="1" applyFill="1" applyBorder="1" applyAlignment="1">
      <alignment horizontal="center"/>
    </xf>
    <xf numFmtId="3" fontId="21" fillId="4" borderId="4" xfId="0" applyNumberFormat="1" applyFont="1" applyFill="1" applyBorder="1" applyAlignment="1">
      <alignment horizontal="center"/>
    </xf>
    <xf numFmtId="169" fontId="23" fillId="4" borderId="2" xfId="0" applyNumberFormat="1" applyFont="1" applyFill="1" applyBorder="1" applyAlignment="1">
      <alignment horizontal="center"/>
    </xf>
    <xf numFmtId="0" fontId="5" fillId="6" borderId="4" xfId="0" applyFont="1" applyFill="1" applyBorder="1" applyAlignment="1">
      <alignment horizontal="left"/>
    </xf>
    <xf numFmtId="167" fontId="5" fillId="6" borderId="2" xfId="0" applyNumberFormat="1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164" fontId="5" fillId="6" borderId="3" xfId="0" applyNumberFormat="1" applyFont="1" applyFill="1" applyBorder="1" applyAlignment="1">
      <alignment horizontal="center"/>
    </xf>
    <xf numFmtId="164" fontId="5" fillId="6" borderId="2" xfId="0" applyNumberFormat="1" applyFont="1" applyFill="1" applyBorder="1" applyAlignment="1">
      <alignment horizontal="center"/>
    </xf>
    <xf numFmtId="164" fontId="5" fillId="6" borderId="1" xfId="0" applyNumberFormat="1" applyFont="1" applyFill="1" applyBorder="1" applyAlignment="1">
      <alignment horizontal="center"/>
    </xf>
    <xf numFmtId="164" fontId="5" fillId="6" borderId="4" xfId="0" applyNumberFormat="1" applyFont="1" applyFill="1" applyBorder="1" applyAlignment="1">
      <alignment horizontal="center"/>
    </xf>
    <xf numFmtId="166" fontId="5" fillId="6" borderId="2" xfId="0" applyNumberFormat="1" applyFont="1" applyFill="1" applyBorder="1" applyAlignment="1">
      <alignment horizontal="center"/>
    </xf>
    <xf numFmtId="164" fontId="5" fillId="5" borderId="3" xfId="0" applyNumberFormat="1" applyFont="1" applyFill="1" applyBorder="1" applyAlignment="1">
      <alignment horizontal="center"/>
    </xf>
    <xf numFmtId="164" fontId="5" fillId="5" borderId="2" xfId="0" applyNumberFormat="1" applyFont="1" applyFill="1" applyBorder="1" applyAlignment="1">
      <alignment horizontal="center"/>
    </xf>
    <xf numFmtId="164" fontId="5" fillId="5" borderId="1" xfId="0" applyNumberFormat="1" applyFont="1" applyFill="1" applyBorder="1" applyAlignment="1">
      <alignment horizontal="center"/>
    </xf>
    <xf numFmtId="164" fontId="5" fillId="5" borderId="4" xfId="0" applyNumberFormat="1" applyFont="1" applyFill="1" applyBorder="1" applyAlignment="1">
      <alignment horizontal="center"/>
    </xf>
    <xf numFmtId="168" fontId="5" fillId="5" borderId="2" xfId="0" applyNumberFormat="1" applyFont="1" applyFill="1" applyBorder="1" applyAlignment="1">
      <alignment horizontal="center"/>
    </xf>
    <xf numFmtId="168" fontId="5" fillId="6" borderId="2" xfId="0" applyNumberFormat="1" applyFont="1" applyFill="1" applyBorder="1" applyAlignment="1">
      <alignment horizontal="center"/>
    </xf>
    <xf numFmtId="166" fontId="5" fillId="5" borderId="2" xfId="0" applyNumberFormat="1" applyFont="1" applyFill="1" applyBorder="1" applyAlignment="1">
      <alignment horizontal="center"/>
    </xf>
  </cellXfs>
  <cellStyles count="4">
    <cellStyle name="Milliers" xfId="1" builtinId="3"/>
    <cellStyle name="Milliers [0]" xfId="3" builtinId="6"/>
    <cellStyle name="Normal" xfId="0" builtinId="0"/>
    <cellStyle name="Pourcentage" xfId="2" builtinId="5"/>
  </cellStyles>
  <dxfs count="61">
    <dxf>
      <font>
        <color rgb="FF3B7C21"/>
      </font>
    </dxf>
    <dxf>
      <font>
        <color rgb="FFFF0000"/>
      </font>
    </dxf>
    <dxf>
      <font>
        <color rgb="FFFF0000"/>
      </font>
    </dxf>
    <dxf>
      <font>
        <color rgb="FF3B7C21"/>
      </font>
    </dxf>
    <dxf>
      <font>
        <color rgb="FF3B7C21"/>
      </font>
    </dxf>
    <dxf>
      <font>
        <color rgb="FFFF0000"/>
      </font>
    </dxf>
    <dxf>
      <font>
        <color rgb="FFFF0000"/>
      </font>
    </dxf>
    <dxf>
      <font>
        <color rgb="FF3B7C21"/>
      </font>
    </dxf>
    <dxf>
      <font>
        <color rgb="FF3B7C21"/>
      </font>
    </dxf>
    <dxf>
      <font>
        <color rgb="FFFF0000"/>
      </font>
    </dxf>
    <dxf>
      <font>
        <color rgb="FFFF0000"/>
      </font>
    </dxf>
    <dxf>
      <font>
        <color rgb="FF3B7C21"/>
      </font>
    </dxf>
    <dxf>
      <font>
        <color rgb="FF3B7C21"/>
      </font>
    </dxf>
    <dxf>
      <font>
        <color rgb="FFFF0000"/>
      </font>
    </dxf>
    <dxf>
      <font>
        <color rgb="FFFF0000"/>
      </font>
    </dxf>
    <dxf>
      <font>
        <color rgb="FF3B7C21"/>
      </font>
    </dxf>
    <dxf>
      <font>
        <color rgb="FF3B7C21"/>
      </font>
    </dxf>
    <dxf>
      <font>
        <color rgb="FFFF0000"/>
      </font>
    </dxf>
    <dxf>
      <font>
        <color rgb="FFFF0000"/>
      </font>
    </dxf>
    <dxf>
      <font>
        <color rgb="FF3B7C21"/>
      </font>
    </dxf>
    <dxf>
      <font>
        <color rgb="FF3B7C21"/>
      </font>
    </dxf>
    <dxf>
      <font>
        <color rgb="FFFF0000"/>
      </font>
    </dxf>
    <dxf>
      <font>
        <color rgb="FFFF0000"/>
      </font>
    </dxf>
    <dxf>
      <font>
        <color rgb="FF3B7C21"/>
      </font>
    </dxf>
    <dxf>
      <font>
        <color rgb="FF3B7C21"/>
      </font>
    </dxf>
    <dxf>
      <font>
        <color rgb="FFFF0000"/>
      </font>
    </dxf>
    <dxf>
      <font>
        <color rgb="FF666666"/>
      </font>
    </dxf>
    <dxf>
      <font>
        <color rgb="FFFF0000"/>
      </font>
    </dxf>
    <dxf>
      <font>
        <color rgb="FF3B7C21"/>
      </font>
    </dxf>
    <dxf>
      <font>
        <color rgb="FF666666"/>
      </font>
    </dxf>
    <dxf>
      <font>
        <color rgb="FFFF0000"/>
      </font>
    </dxf>
    <dxf>
      <font>
        <color rgb="FF3B7C21"/>
      </font>
    </dxf>
    <dxf>
      <font>
        <color rgb="FF3B7C21"/>
      </font>
    </dxf>
    <dxf>
      <font>
        <color rgb="FFFF0000"/>
      </font>
    </dxf>
    <dxf>
      <font>
        <color rgb="FFFF0000"/>
      </font>
    </dxf>
    <dxf>
      <font>
        <color rgb="FF3B7C21"/>
      </font>
    </dxf>
    <dxf>
      <font>
        <color rgb="FF3B7C21"/>
      </font>
    </dxf>
    <dxf>
      <font>
        <color rgb="FFFF0000"/>
      </font>
    </dxf>
    <dxf>
      <font>
        <color rgb="FFFF0000"/>
      </font>
    </dxf>
    <dxf>
      <font>
        <color rgb="FF3B7C21"/>
      </font>
    </dxf>
    <dxf>
      <font>
        <color rgb="FF3B7C21"/>
      </font>
    </dxf>
    <dxf>
      <font>
        <color rgb="FFFF0000"/>
      </font>
    </dxf>
    <dxf>
      <font>
        <color rgb="FFFF0000"/>
      </font>
    </dxf>
    <dxf>
      <font>
        <color rgb="FF3B7C21"/>
      </font>
    </dxf>
    <dxf>
      <font>
        <color rgb="FF3B7C21"/>
      </font>
    </dxf>
    <dxf>
      <font>
        <color rgb="FFFF0000"/>
      </font>
    </dxf>
    <dxf>
      <font>
        <color rgb="FFFF0000"/>
      </font>
    </dxf>
    <dxf>
      <font>
        <color rgb="FF3B7C21"/>
      </font>
    </dxf>
    <dxf>
      <font>
        <color rgb="FF3B7C21"/>
      </font>
    </dxf>
    <dxf>
      <font>
        <color rgb="FFFF0000"/>
      </font>
    </dxf>
    <dxf>
      <font>
        <color rgb="FFFF0000"/>
      </font>
    </dxf>
    <dxf>
      <font>
        <color rgb="FF3B7C21"/>
      </font>
    </dxf>
    <dxf>
      <font>
        <color rgb="FF3B7C21"/>
      </font>
    </dxf>
    <dxf>
      <font>
        <color rgb="FFFF0000"/>
      </font>
    </dxf>
    <dxf>
      <font>
        <color rgb="FFFF0000"/>
      </font>
    </dxf>
    <dxf>
      <font>
        <color rgb="FF3B7C21"/>
      </font>
    </dxf>
    <dxf>
      <font>
        <color rgb="FF3B7C21"/>
      </font>
    </dxf>
    <dxf>
      <font>
        <color rgb="FFFF0000"/>
      </font>
    </dxf>
    <dxf>
      <font>
        <color rgb="FF666666"/>
      </font>
    </dxf>
    <dxf>
      <font>
        <color rgb="FFFF0000"/>
      </font>
    </dxf>
    <dxf>
      <font>
        <color rgb="FF3B7C2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F9F63-6E39-44C2-8BF1-5A02B0E1023A}">
  <dimension ref="A1:AF39"/>
  <sheetViews>
    <sheetView showGridLines="0" tabSelected="1" workbookViewId="0">
      <selection activeCell="A2" sqref="A2:L3"/>
    </sheetView>
  </sheetViews>
  <sheetFormatPr baseColWidth="10" defaultRowHeight="10.5" x14ac:dyDescent="0.25"/>
  <cols>
    <col min="1" max="1" width="20.90625" style="18" customWidth="1"/>
    <col min="2" max="7" width="6.90625" style="18" customWidth="1"/>
    <col min="8" max="12" width="8.36328125" style="18" customWidth="1"/>
    <col min="13" max="13" width="1.7265625" style="18" customWidth="1"/>
    <col min="14" max="16" width="5.453125" style="18" bestFit="1" customWidth="1"/>
    <col min="17" max="17" width="6.36328125" style="18" customWidth="1"/>
    <col min="18" max="19" width="5.453125" style="18" bestFit="1" customWidth="1"/>
    <col min="20" max="20" width="1.81640625" style="18" customWidth="1"/>
    <col min="21" max="21" width="20" style="18" bestFit="1" customWidth="1"/>
    <col min="22" max="27" width="6.36328125" style="18" customWidth="1"/>
    <col min="28" max="16384" width="10.90625" style="18"/>
  </cols>
  <sheetData>
    <row r="1" spans="1:32" ht="13.5" customHeight="1" thickBot="1" x14ac:dyDescent="0.3">
      <c r="A1" s="16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32" ht="18" customHeight="1" x14ac:dyDescent="0.25">
      <c r="A2" s="154" t="s">
        <v>114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6"/>
      <c r="U2" s="154" t="s">
        <v>113</v>
      </c>
      <c r="V2" s="155"/>
      <c r="W2" s="155"/>
      <c r="X2" s="155"/>
      <c r="Y2" s="155"/>
      <c r="Z2" s="155"/>
      <c r="AA2" s="155"/>
      <c r="AB2" s="155"/>
      <c r="AC2" s="155"/>
      <c r="AD2" s="155"/>
      <c r="AE2" s="155"/>
      <c r="AF2" s="156"/>
    </row>
    <row r="3" spans="1:32" ht="18" customHeight="1" thickBot="1" x14ac:dyDescent="0.3">
      <c r="A3" s="157"/>
      <c r="B3" s="158"/>
      <c r="C3" s="158"/>
      <c r="D3" s="158"/>
      <c r="E3" s="158"/>
      <c r="F3" s="158"/>
      <c r="G3" s="158"/>
      <c r="H3" s="158"/>
      <c r="I3" s="158"/>
      <c r="J3" s="158"/>
      <c r="K3" s="158"/>
      <c r="L3" s="159"/>
      <c r="U3" s="157"/>
      <c r="V3" s="158"/>
      <c r="W3" s="158"/>
      <c r="X3" s="158"/>
      <c r="Y3" s="158"/>
      <c r="Z3" s="158"/>
      <c r="AA3" s="158"/>
      <c r="AB3" s="158"/>
      <c r="AC3" s="158"/>
      <c r="AD3" s="158"/>
      <c r="AE3" s="158"/>
      <c r="AF3" s="159"/>
    </row>
    <row r="4" spans="1:32" ht="10" customHeight="1" thickBot="1" x14ac:dyDescent="0.3"/>
    <row r="5" spans="1:32" ht="16" customHeight="1" thickBot="1" x14ac:dyDescent="0.3">
      <c r="A5" s="19" t="s">
        <v>1</v>
      </c>
      <c r="B5" s="20" t="s">
        <v>2</v>
      </c>
      <c r="C5" s="21"/>
      <c r="D5" s="21"/>
      <c r="E5" s="22"/>
      <c r="F5" s="22"/>
      <c r="G5" s="23"/>
      <c r="H5" s="24" t="s">
        <v>3</v>
      </c>
      <c r="I5" s="25"/>
      <c r="J5" s="25"/>
      <c r="K5" s="26"/>
      <c r="L5" s="27"/>
      <c r="N5" s="153" t="s">
        <v>115</v>
      </c>
      <c r="O5" s="153"/>
      <c r="P5" s="153"/>
      <c r="Q5" s="153"/>
      <c r="R5" s="153"/>
      <c r="S5" s="153"/>
      <c r="U5" s="28" t="s">
        <v>1</v>
      </c>
      <c r="V5" s="29" t="s">
        <v>2</v>
      </c>
      <c r="W5" s="30"/>
      <c r="X5" s="30"/>
      <c r="Y5" s="31"/>
      <c r="Z5" s="31"/>
      <c r="AA5" s="32"/>
      <c r="AB5" s="33" t="s">
        <v>3</v>
      </c>
      <c r="AC5" s="25"/>
      <c r="AD5" s="25"/>
      <c r="AE5" s="26"/>
      <c r="AF5" s="27"/>
    </row>
    <row r="6" spans="1:32" ht="37" customHeight="1" thickBot="1" x14ac:dyDescent="0.3">
      <c r="A6" s="34" t="s">
        <v>4</v>
      </c>
      <c r="B6" s="35" t="s">
        <v>5</v>
      </c>
      <c r="C6" s="36" t="s">
        <v>82</v>
      </c>
      <c r="D6" s="37" t="s">
        <v>9</v>
      </c>
      <c r="E6" s="38" t="s">
        <v>83</v>
      </c>
      <c r="F6" s="39" t="s">
        <v>10</v>
      </c>
      <c r="G6" s="40" t="s">
        <v>11</v>
      </c>
      <c r="H6" s="35" t="s">
        <v>87</v>
      </c>
      <c r="I6" s="36" t="s">
        <v>86</v>
      </c>
      <c r="J6" s="36" t="s">
        <v>85</v>
      </c>
      <c r="K6" s="39" t="s">
        <v>84</v>
      </c>
      <c r="L6" s="41" t="s">
        <v>17</v>
      </c>
      <c r="N6" s="35" t="s">
        <v>5</v>
      </c>
      <c r="O6" s="36" t="s">
        <v>82</v>
      </c>
      <c r="P6" s="37" t="s">
        <v>9</v>
      </c>
      <c r="Q6" s="38" t="s">
        <v>83</v>
      </c>
      <c r="R6" s="39" t="s">
        <v>10</v>
      </c>
      <c r="S6" s="40" t="s">
        <v>11</v>
      </c>
      <c r="U6" s="42" t="s">
        <v>4</v>
      </c>
      <c r="V6" s="43" t="s">
        <v>5</v>
      </c>
      <c r="W6" s="36" t="s">
        <v>82</v>
      </c>
      <c r="X6" s="37" t="s">
        <v>9</v>
      </c>
      <c r="Y6" s="38" t="s">
        <v>83</v>
      </c>
      <c r="Z6" s="39" t="s">
        <v>10</v>
      </c>
      <c r="AA6" s="41" t="s">
        <v>11</v>
      </c>
      <c r="AB6" s="35" t="s">
        <v>87</v>
      </c>
      <c r="AC6" s="36" t="s">
        <v>86</v>
      </c>
      <c r="AD6" s="36" t="s">
        <v>85</v>
      </c>
      <c r="AE6" s="39" t="s">
        <v>84</v>
      </c>
      <c r="AF6" s="41" t="s">
        <v>17</v>
      </c>
    </row>
    <row r="7" spans="1:32" ht="12.75" customHeight="1" x14ac:dyDescent="0.25">
      <c r="A7" s="44" t="s">
        <v>18</v>
      </c>
      <c r="B7" s="45">
        <v>283449</v>
      </c>
      <c r="C7" s="46">
        <f>299018+2123</f>
        <v>301141</v>
      </c>
      <c r="D7" s="47">
        <v>328333</v>
      </c>
      <c r="E7" s="46">
        <v>350332</v>
      </c>
      <c r="F7" s="46">
        <v>372353</v>
      </c>
      <c r="G7" s="48">
        <v>424428</v>
      </c>
      <c r="H7" s="49" t="str">
        <f t="shared" ref="H7:H26" si="0">IFERROR(IF(C7/B7-1&gt;=0,"▲","▼")&amp;TEXT(ABS(C7/B7-1),"0,0%"),"NM")</f>
        <v>▲6,2%</v>
      </c>
      <c r="I7" s="50" t="str">
        <f t="shared" ref="I7:I26" si="1">IFERROR(IF(E7/C7-1&gt;=0,"▲","▼")&amp;TEXT(ABS(E7/C7-1),"0,0%"),"NM")</f>
        <v>▲16,3%</v>
      </c>
      <c r="J7" s="50" t="str">
        <f t="shared" ref="J7:J26" si="2">IFERROR(IF(E7/D7-1&gt;=0,"▲","▼")&amp;TEXT(ABS(E7/D7-1),"0,0%"),"NM")</f>
        <v>▲6,7%</v>
      </c>
      <c r="K7" s="51" t="str">
        <f t="shared" ref="K7:K26" si="3">IFERROR(IF(F7/E7-1&gt;=0,"▲","▼")&amp;TEXT(ABS(F7/E7-1),"0,0%"),"NM")</f>
        <v>▲6,3%</v>
      </c>
      <c r="L7" s="52" t="str">
        <f t="shared" ref="L7:L26" si="4">IFERROR(IF(G7/F7-1&gt;=0,"▲","▼")&amp;TEXT(ABS(G7/F7-1),"0,0%"),"NM")</f>
        <v>▲14,0%</v>
      </c>
      <c r="N7" s="53">
        <f>+Adjustments!C26</f>
        <v>-2053.9152893333335</v>
      </c>
      <c r="O7" s="53">
        <f>+Adjustments!D26</f>
        <v>238.81677400000004</v>
      </c>
      <c r="P7" s="53">
        <f>+Adjustments!E26</f>
        <v>279.41562558000004</v>
      </c>
      <c r="Q7" s="53">
        <f>+Adjustments!F26</f>
        <v>279.41562558000004</v>
      </c>
      <c r="R7" s="53">
        <f>+Adjustments!G26</f>
        <v>298.69530374502006</v>
      </c>
      <c r="S7" s="53">
        <f>+Adjustments!H26</f>
        <v>340.51264626932289</v>
      </c>
      <c r="U7" s="54" t="s">
        <v>18</v>
      </c>
      <c r="V7" s="55">
        <f>+B7+N7</f>
        <v>281395.08471066668</v>
      </c>
      <c r="W7" s="45">
        <f t="shared" ref="W7:AA8" si="5">+C7+O7</f>
        <v>301379.81677400001</v>
      </c>
      <c r="X7" s="45">
        <f t="shared" si="5"/>
        <v>328612.41562558</v>
      </c>
      <c r="Y7" s="45">
        <f t="shared" si="5"/>
        <v>350611.41562558</v>
      </c>
      <c r="Z7" s="45">
        <f t="shared" si="5"/>
        <v>372651.69530374504</v>
      </c>
      <c r="AA7" s="56">
        <f t="shared" si="5"/>
        <v>424768.51264626934</v>
      </c>
      <c r="AB7" s="49" t="str">
        <f t="shared" ref="AB7:AB26" si="6">IFERROR(IF(W7/V7-1&gt;=0,"▲","▼")&amp;TEXT(ABS(W7/V7-1),"0,0%"),"NM")</f>
        <v>▲7,1%</v>
      </c>
      <c r="AC7" s="50" t="str">
        <f t="shared" ref="AC7:AC26" si="7">IFERROR(IF(Y7/W7-1&gt;=0,"▲","▼")&amp;TEXT(ABS(Y7/W7-1),"0,0%"),"NM")</f>
        <v>▲16,3%</v>
      </c>
      <c r="AD7" s="50" t="str">
        <f t="shared" ref="AD7:AD26" si="8">IFERROR(IF(Y7/X7-1&gt;=0,"▲","▼")&amp;TEXT(ABS(Y7/X7-1),"0,0%"),"NM")</f>
        <v>▲6,7%</v>
      </c>
      <c r="AE7" s="51" t="str">
        <f t="shared" ref="AE7:AE26" si="9">IFERROR(IF(Z7/Y7-1&gt;=0,"▲","▼")&amp;TEXT(ABS(Z7/Y7-1),"0,0%"),"NM")</f>
        <v>▲6,3%</v>
      </c>
      <c r="AF7" s="52" t="str">
        <f t="shared" ref="AF7:AF26" si="10">IFERROR(IF(AA7/Z7-1&gt;=0,"▲","▼")&amp;TEXT(ABS(AA7/Z7-1),"0,0%"),"NM")</f>
        <v>▲14,0%</v>
      </c>
    </row>
    <row r="8" spans="1:32" ht="12.75" customHeight="1" x14ac:dyDescent="0.25">
      <c r="A8" s="57" t="s">
        <v>19</v>
      </c>
      <c r="B8" s="58">
        <v>282737</v>
      </c>
      <c r="C8" s="59">
        <f>298233+2123</f>
        <v>300356</v>
      </c>
      <c r="D8" s="60">
        <v>326160</v>
      </c>
      <c r="E8" s="59">
        <v>348916</v>
      </c>
      <c r="F8" s="59">
        <v>369475</v>
      </c>
      <c r="G8" s="61">
        <v>421483</v>
      </c>
      <c r="H8" s="62" t="str">
        <f t="shared" si="0"/>
        <v>▲6,2%</v>
      </c>
      <c r="I8" s="63" t="str">
        <f t="shared" si="1"/>
        <v>▲16,2%</v>
      </c>
      <c r="J8" s="63" t="str">
        <f t="shared" si="2"/>
        <v>▲7,0%</v>
      </c>
      <c r="K8" s="64" t="str">
        <f t="shared" si="3"/>
        <v>▲5,9%</v>
      </c>
      <c r="L8" s="65" t="str">
        <f t="shared" si="4"/>
        <v>▲14,1%</v>
      </c>
      <c r="N8" s="53">
        <v>-2053.9152893333335</v>
      </c>
      <c r="O8" s="53">
        <v>238.81677400000004</v>
      </c>
      <c r="P8" s="53">
        <v>279.41562558000004</v>
      </c>
      <c r="Q8" s="53">
        <v>279.41562558000004</v>
      </c>
      <c r="R8" s="53">
        <v>298.69530374502006</v>
      </c>
      <c r="S8" s="53">
        <v>340.51264626932289</v>
      </c>
      <c r="U8" s="66" t="s">
        <v>19</v>
      </c>
      <c r="V8" s="67">
        <f>+B8+N8</f>
        <v>280683.08471066668</v>
      </c>
      <c r="W8" s="58">
        <f t="shared" si="5"/>
        <v>300594.81677400001</v>
      </c>
      <c r="X8" s="58">
        <f t="shared" si="5"/>
        <v>326439.41562558</v>
      </c>
      <c r="Y8" s="58">
        <f t="shared" si="5"/>
        <v>349195.41562558</v>
      </c>
      <c r="Z8" s="58">
        <f t="shared" si="5"/>
        <v>369773.69530374504</v>
      </c>
      <c r="AA8" s="68">
        <f t="shared" si="5"/>
        <v>421823.51264626934</v>
      </c>
      <c r="AB8" s="62" t="str">
        <f t="shared" si="6"/>
        <v>▲7,1%</v>
      </c>
      <c r="AC8" s="63" t="str">
        <f t="shared" si="7"/>
        <v>▲16,2%</v>
      </c>
      <c r="AD8" s="63" t="str">
        <f t="shared" si="8"/>
        <v>▲7,0%</v>
      </c>
      <c r="AE8" s="64" t="str">
        <f t="shared" si="9"/>
        <v>▲5,9%</v>
      </c>
      <c r="AF8" s="65" t="str">
        <f t="shared" si="10"/>
        <v>▲14,1%</v>
      </c>
    </row>
    <row r="9" spans="1:32" ht="12.75" customHeight="1" x14ac:dyDescent="0.25">
      <c r="A9" s="69" t="s">
        <v>20</v>
      </c>
      <c r="B9" s="70">
        <v>129748</v>
      </c>
      <c r="C9" s="71">
        <f>124243+2123</f>
        <v>126366</v>
      </c>
      <c r="D9" s="72">
        <v>120217</v>
      </c>
      <c r="E9" s="71">
        <v>120895</v>
      </c>
      <c r="F9" s="71">
        <v>115792</v>
      </c>
      <c r="G9" s="73">
        <v>111780</v>
      </c>
      <c r="H9" s="74" t="str">
        <f t="shared" si="0"/>
        <v>▼2,6%</v>
      </c>
      <c r="I9" s="75" t="str">
        <f t="shared" si="1"/>
        <v>▼4,3%</v>
      </c>
      <c r="J9" s="75" t="str">
        <f t="shared" si="2"/>
        <v>▲0,6%</v>
      </c>
      <c r="K9" s="76" t="str">
        <f t="shared" si="3"/>
        <v>▼4,2%</v>
      </c>
      <c r="L9" s="77" t="str">
        <f t="shared" si="4"/>
        <v>▼3,5%</v>
      </c>
      <c r="N9" s="53">
        <f>+N7</f>
        <v>-2053.9152893333335</v>
      </c>
      <c r="O9" s="53">
        <f t="shared" ref="O9:S9" si="11">+O7</f>
        <v>238.81677400000004</v>
      </c>
      <c r="P9" s="53">
        <f t="shared" si="11"/>
        <v>279.41562558000004</v>
      </c>
      <c r="Q9" s="53">
        <f t="shared" si="11"/>
        <v>279.41562558000004</v>
      </c>
      <c r="R9" s="53">
        <f t="shared" si="11"/>
        <v>298.69530374502006</v>
      </c>
      <c r="S9" s="53">
        <f t="shared" si="11"/>
        <v>340.51264626932289</v>
      </c>
      <c r="U9" s="78" t="s">
        <v>20</v>
      </c>
      <c r="V9" s="79">
        <f>+B9+N9</f>
        <v>127694.08471066666</v>
      </c>
      <c r="W9" s="70">
        <f t="shared" ref="W9:AA9" si="12">+C9+O9</f>
        <v>126604.81677400001</v>
      </c>
      <c r="X9" s="70">
        <f t="shared" si="12"/>
        <v>120496.41562558</v>
      </c>
      <c r="Y9" s="70">
        <f t="shared" si="12"/>
        <v>121174.41562558</v>
      </c>
      <c r="Z9" s="70">
        <f t="shared" si="12"/>
        <v>116090.69530374501</v>
      </c>
      <c r="AA9" s="80">
        <f t="shared" si="12"/>
        <v>112120.51264626933</v>
      </c>
      <c r="AB9" s="74" t="str">
        <f t="shared" si="6"/>
        <v>▼0,9%</v>
      </c>
      <c r="AC9" s="75" t="str">
        <f t="shared" si="7"/>
        <v>▼4,3%</v>
      </c>
      <c r="AD9" s="75" t="str">
        <f t="shared" si="8"/>
        <v>▲0,6%</v>
      </c>
      <c r="AE9" s="76" t="str">
        <f t="shared" si="9"/>
        <v>▼4,2%</v>
      </c>
      <c r="AF9" s="77" t="str">
        <f t="shared" si="10"/>
        <v>▼3,4%</v>
      </c>
    </row>
    <row r="10" spans="1:32" ht="12.75" customHeight="1" x14ac:dyDescent="0.25">
      <c r="A10" s="81" t="s">
        <v>21</v>
      </c>
      <c r="B10" s="82">
        <v>109803</v>
      </c>
      <c r="C10" s="83">
        <v>133662</v>
      </c>
      <c r="D10" s="84">
        <v>162282</v>
      </c>
      <c r="E10" s="83">
        <v>188118</v>
      </c>
      <c r="F10" s="83">
        <v>201230</v>
      </c>
      <c r="G10" s="85">
        <v>245526</v>
      </c>
      <c r="H10" s="62" t="str">
        <f t="shared" si="0"/>
        <v>▲21,7%</v>
      </c>
      <c r="I10" s="63" t="str">
        <f t="shared" si="1"/>
        <v>▲40,7%</v>
      </c>
      <c r="J10" s="63" t="str">
        <f t="shared" si="2"/>
        <v>▲15,9%</v>
      </c>
      <c r="K10" s="64" t="str">
        <f t="shared" si="3"/>
        <v>▲7,0%</v>
      </c>
      <c r="L10" s="65" t="str">
        <f t="shared" si="4"/>
        <v>▲22,0%</v>
      </c>
      <c r="N10" s="53"/>
      <c r="O10" s="53"/>
      <c r="P10" s="53"/>
      <c r="Q10" s="53"/>
      <c r="R10" s="53"/>
      <c r="S10" s="53"/>
      <c r="U10" s="86" t="s">
        <v>21</v>
      </c>
      <c r="V10" s="87">
        <v>109803</v>
      </c>
      <c r="W10" s="83">
        <v>133662</v>
      </c>
      <c r="X10" s="84">
        <v>162282</v>
      </c>
      <c r="Y10" s="83">
        <v>188118</v>
      </c>
      <c r="Z10" s="83">
        <v>201230</v>
      </c>
      <c r="AA10" s="88">
        <v>245526</v>
      </c>
      <c r="AB10" s="62" t="str">
        <f t="shared" si="6"/>
        <v>▲21,7%</v>
      </c>
      <c r="AC10" s="63" t="str">
        <f t="shared" si="7"/>
        <v>▲40,7%</v>
      </c>
      <c r="AD10" s="63" t="str">
        <f t="shared" si="8"/>
        <v>▲15,9%</v>
      </c>
      <c r="AE10" s="64" t="str">
        <f t="shared" si="9"/>
        <v>▲7,0%</v>
      </c>
      <c r="AF10" s="65" t="str">
        <f t="shared" si="10"/>
        <v>▲22,0%</v>
      </c>
    </row>
    <row r="11" spans="1:32" ht="12.75" customHeight="1" x14ac:dyDescent="0.25">
      <c r="A11" s="89" t="s">
        <v>22</v>
      </c>
      <c r="B11" s="70">
        <v>8305</v>
      </c>
      <c r="C11" s="71">
        <v>5106</v>
      </c>
      <c r="D11" s="72">
        <v>6469</v>
      </c>
      <c r="E11" s="71">
        <v>3766</v>
      </c>
      <c r="F11" s="71">
        <v>7452</v>
      </c>
      <c r="G11" s="73">
        <v>8582</v>
      </c>
      <c r="H11" s="74" t="str">
        <f t="shared" si="0"/>
        <v>▼38,5%</v>
      </c>
      <c r="I11" s="75" t="str">
        <f t="shared" si="1"/>
        <v>▼26,2%</v>
      </c>
      <c r="J11" s="75" t="str">
        <f t="shared" si="2"/>
        <v>▼41,8%</v>
      </c>
      <c r="K11" s="76" t="str">
        <f t="shared" si="3"/>
        <v>▲97,9%</v>
      </c>
      <c r="L11" s="77" t="str">
        <f t="shared" si="4"/>
        <v>▲15,2%</v>
      </c>
      <c r="N11" s="53"/>
      <c r="O11" s="53"/>
      <c r="P11" s="53"/>
      <c r="Q11" s="53"/>
      <c r="R11" s="53"/>
      <c r="S11" s="53"/>
      <c r="U11" s="90" t="s">
        <v>22</v>
      </c>
      <c r="V11" s="79">
        <v>8305</v>
      </c>
      <c r="W11" s="71">
        <v>5106</v>
      </c>
      <c r="X11" s="72">
        <v>6469</v>
      </c>
      <c r="Y11" s="71">
        <v>3766</v>
      </c>
      <c r="Z11" s="71">
        <v>7452</v>
      </c>
      <c r="AA11" s="91">
        <v>8582</v>
      </c>
      <c r="AB11" s="74" t="str">
        <f t="shared" si="6"/>
        <v>▼38,5%</v>
      </c>
      <c r="AC11" s="75" t="str">
        <f t="shared" si="7"/>
        <v>▼26,2%</v>
      </c>
      <c r="AD11" s="75" t="str">
        <f t="shared" si="8"/>
        <v>▼41,8%</v>
      </c>
      <c r="AE11" s="76" t="str">
        <f t="shared" si="9"/>
        <v>▲97,9%</v>
      </c>
      <c r="AF11" s="77" t="str">
        <f t="shared" si="10"/>
        <v>▲15,2%</v>
      </c>
    </row>
    <row r="12" spans="1:32" ht="12.75" customHeight="1" x14ac:dyDescent="0.25">
      <c r="A12" s="92" t="s">
        <v>24</v>
      </c>
      <c r="B12" s="82">
        <v>3405</v>
      </c>
      <c r="C12" s="83">
        <v>3020</v>
      </c>
      <c r="D12" s="84">
        <v>2552</v>
      </c>
      <c r="E12" s="83">
        <v>2222</v>
      </c>
      <c r="F12" s="83">
        <v>2257</v>
      </c>
      <c r="G12" s="85">
        <v>1981</v>
      </c>
      <c r="H12" s="62" t="str">
        <f t="shared" si="0"/>
        <v>▼11,3%</v>
      </c>
      <c r="I12" s="63" t="str">
        <f t="shared" si="1"/>
        <v>▼26,4%</v>
      </c>
      <c r="J12" s="63" t="str">
        <f t="shared" si="2"/>
        <v>▼12,9%</v>
      </c>
      <c r="K12" s="64" t="str">
        <f t="shared" si="3"/>
        <v>▲1,6%</v>
      </c>
      <c r="L12" s="65" t="str">
        <f t="shared" si="4"/>
        <v>▼12,2%</v>
      </c>
      <c r="N12" s="53"/>
      <c r="O12" s="53"/>
      <c r="P12" s="53"/>
      <c r="Q12" s="53"/>
      <c r="R12" s="53"/>
      <c r="S12" s="53"/>
      <c r="U12" s="93" t="s">
        <v>24</v>
      </c>
      <c r="V12" s="87">
        <v>3405</v>
      </c>
      <c r="W12" s="83">
        <v>3020</v>
      </c>
      <c r="X12" s="84">
        <v>2552</v>
      </c>
      <c r="Y12" s="83">
        <v>2222</v>
      </c>
      <c r="Z12" s="83">
        <v>2257</v>
      </c>
      <c r="AA12" s="88">
        <v>1981</v>
      </c>
      <c r="AB12" s="62" t="str">
        <f t="shared" si="6"/>
        <v>▼11,3%</v>
      </c>
      <c r="AC12" s="63" t="str">
        <f t="shared" si="7"/>
        <v>▼26,4%</v>
      </c>
      <c r="AD12" s="63" t="str">
        <f t="shared" si="8"/>
        <v>▼12,9%</v>
      </c>
      <c r="AE12" s="64" t="str">
        <f t="shared" si="9"/>
        <v>▲1,6%</v>
      </c>
      <c r="AF12" s="65" t="str">
        <f t="shared" si="10"/>
        <v>▼12,2%</v>
      </c>
    </row>
    <row r="13" spans="1:32" ht="12.75" customHeight="1" x14ac:dyDescent="0.25">
      <c r="A13" s="89" t="s">
        <v>46</v>
      </c>
      <c r="B13" s="70">
        <v>7140</v>
      </c>
      <c r="C13" s="71">
        <v>8500</v>
      </c>
      <c r="D13" s="72">
        <v>6610</v>
      </c>
      <c r="E13" s="71">
        <v>7123</v>
      </c>
      <c r="F13" s="71">
        <v>7111</v>
      </c>
      <c r="G13" s="73">
        <v>7844</v>
      </c>
      <c r="H13" s="74" t="str">
        <f t="shared" si="0"/>
        <v>▲19,0%</v>
      </c>
      <c r="I13" s="75" t="str">
        <f t="shared" si="1"/>
        <v>▼16,2%</v>
      </c>
      <c r="J13" s="75" t="str">
        <f t="shared" si="2"/>
        <v>▲7,8%</v>
      </c>
      <c r="K13" s="76" t="str">
        <f t="shared" si="3"/>
        <v>▼0,2%</v>
      </c>
      <c r="L13" s="77" t="str">
        <f t="shared" si="4"/>
        <v>▲10,3%</v>
      </c>
      <c r="N13" s="53"/>
      <c r="O13" s="53"/>
      <c r="P13" s="53"/>
      <c r="Q13" s="53"/>
      <c r="R13" s="53"/>
      <c r="S13" s="53"/>
      <c r="U13" s="90" t="s">
        <v>46</v>
      </c>
      <c r="V13" s="79">
        <v>7140</v>
      </c>
      <c r="W13" s="71">
        <v>8500</v>
      </c>
      <c r="X13" s="72">
        <v>6610</v>
      </c>
      <c r="Y13" s="71">
        <v>7123</v>
      </c>
      <c r="Z13" s="71">
        <v>7111</v>
      </c>
      <c r="AA13" s="91">
        <v>7844</v>
      </c>
      <c r="AB13" s="74" t="str">
        <f t="shared" si="6"/>
        <v>▲19,0%</v>
      </c>
      <c r="AC13" s="75" t="str">
        <f t="shared" si="7"/>
        <v>▼16,2%</v>
      </c>
      <c r="AD13" s="75" t="str">
        <f t="shared" si="8"/>
        <v>▲7,8%</v>
      </c>
      <c r="AE13" s="76" t="str">
        <f t="shared" si="9"/>
        <v>▼0,2%</v>
      </c>
      <c r="AF13" s="77" t="str">
        <f t="shared" si="10"/>
        <v>▲10,3%</v>
      </c>
    </row>
    <row r="14" spans="1:32" ht="12.75" customHeight="1" x14ac:dyDescent="0.25">
      <c r="A14" s="92" t="s">
        <v>47</v>
      </c>
      <c r="B14" s="82">
        <v>22989</v>
      </c>
      <c r="C14" s="83">
        <v>23981</v>
      </c>
      <c r="D14" s="84">
        <v>28030</v>
      </c>
      <c r="E14" s="83">
        <f>26683+110</f>
        <v>26793</v>
      </c>
      <c r="F14" s="83">
        <v>35633</v>
      </c>
      <c r="G14" s="85">
        <v>45771</v>
      </c>
      <c r="H14" s="62" t="str">
        <f t="shared" si="0"/>
        <v>▲4,3%</v>
      </c>
      <c r="I14" s="63" t="str">
        <f t="shared" si="1"/>
        <v>▲11,7%</v>
      </c>
      <c r="J14" s="63" t="str">
        <f t="shared" si="2"/>
        <v>▼4,4%</v>
      </c>
      <c r="K14" s="64" t="str">
        <f t="shared" si="3"/>
        <v>▲33,0%</v>
      </c>
      <c r="L14" s="65" t="str">
        <f t="shared" si="4"/>
        <v>▲28,5%</v>
      </c>
      <c r="N14" s="53"/>
      <c r="O14" s="53"/>
      <c r="P14" s="53"/>
      <c r="Q14" s="53"/>
      <c r="R14" s="53"/>
      <c r="S14" s="53"/>
      <c r="U14" s="93" t="s">
        <v>47</v>
      </c>
      <c r="V14" s="87">
        <v>22989</v>
      </c>
      <c r="W14" s="83">
        <v>23981</v>
      </c>
      <c r="X14" s="84">
        <v>28030</v>
      </c>
      <c r="Y14" s="83">
        <f>26683+110</f>
        <v>26793</v>
      </c>
      <c r="Z14" s="83">
        <v>35633</v>
      </c>
      <c r="AA14" s="88">
        <v>45771</v>
      </c>
      <c r="AB14" s="62" t="str">
        <f t="shared" si="6"/>
        <v>▲4,3%</v>
      </c>
      <c r="AC14" s="63" t="str">
        <f t="shared" si="7"/>
        <v>▲11,7%</v>
      </c>
      <c r="AD14" s="63" t="str">
        <f t="shared" si="8"/>
        <v>▼4,4%</v>
      </c>
      <c r="AE14" s="64" t="str">
        <f t="shared" si="9"/>
        <v>▲33,0%</v>
      </c>
      <c r="AF14" s="65" t="str">
        <f t="shared" si="10"/>
        <v>▲28,5%</v>
      </c>
    </row>
    <row r="15" spans="1:32" ht="12.75" customHeight="1" x14ac:dyDescent="0.25">
      <c r="A15" s="69" t="s">
        <v>26</v>
      </c>
      <c r="B15" s="70">
        <v>14624</v>
      </c>
      <c r="C15" s="72">
        <v>16632</v>
      </c>
      <c r="D15" s="72">
        <v>17895</v>
      </c>
      <c r="E15" s="71">
        <v>17895</v>
      </c>
      <c r="F15" s="71">
        <v>22369</v>
      </c>
      <c r="G15" s="73">
        <v>28409</v>
      </c>
      <c r="H15" s="74" t="str">
        <f t="shared" si="0"/>
        <v>▲13,7%</v>
      </c>
      <c r="I15" s="75" t="str">
        <f t="shared" si="1"/>
        <v>▲7,6%</v>
      </c>
      <c r="J15" s="75" t="str">
        <f t="shared" si="2"/>
        <v>▲0,0%</v>
      </c>
      <c r="K15" s="76" t="str">
        <f t="shared" si="3"/>
        <v>▲25,0%</v>
      </c>
      <c r="L15" s="77" t="str">
        <f t="shared" si="4"/>
        <v>▲27,0%</v>
      </c>
      <c r="N15" s="53"/>
      <c r="O15" s="53"/>
      <c r="P15" s="53"/>
      <c r="Q15" s="53"/>
      <c r="R15" s="53"/>
      <c r="S15" s="53"/>
      <c r="U15" s="78" t="s">
        <v>26</v>
      </c>
      <c r="V15" s="79">
        <v>14624</v>
      </c>
      <c r="W15" s="72">
        <v>16632</v>
      </c>
      <c r="X15" s="72">
        <v>17895</v>
      </c>
      <c r="Y15" s="71">
        <v>17895</v>
      </c>
      <c r="Z15" s="71">
        <v>22369</v>
      </c>
      <c r="AA15" s="91">
        <v>28409</v>
      </c>
      <c r="AB15" s="74" t="str">
        <f t="shared" si="6"/>
        <v>▲13,7%</v>
      </c>
      <c r="AC15" s="75" t="str">
        <f t="shared" si="7"/>
        <v>▲7,6%</v>
      </c>
      <c r="AD15" s="75" t="str">
        <f t="shared" si="8"/>
        <v>▲0,0%</v>
      </c>
      <c r="AE15" s="76" t="str">
        <f t="shared" si="9"/>
        <v>▲25,0%</v>
      </c>
      <c r="AF15" s="77" t="str">
        <f t="shared" si="10"/>
        <v>▲27,0%</v>
      </c>
    </row>
    <row r="16" spans="1:32" ht="12.75" customHeight="1" x14ac:dyDescent="0.25">
      <c r="A16" s="81" t="s">
        <v>27</v>
      </c>
      <c r="B16" s="82">
        <v>6538</v>
      </c>
      <c r="C16" s="84">
        <v>7349</v>
      </c>
      <c r="D16" s="84">
        <v>10134</v>
      </c>
      <c r="E16" s="83">
        <v>8897</v>
      </c>
      <c r="F16" s="83">
        <v>13264</v>
      </c>
      <c r="G16" s="85">
        <v>17362</v>
      </c>
      <c r="H16" s="62" t="str">
        <f t="shared" si="0"/>
        <v>▲12,4%</v>
      </c>
      <c r="I16" s="63" t="str">
        <f t="shared" si="1"/>
        <v>▲21,1%</v>
      </c>
      <c r="J16" s="63" t="str">
        <f t="shared" si="2"/>
        <v>▼12,2%</v>
      </c>
      <c r="K16" s="64" t="str">
        <f t="shared" si="3"/>
        <v>▲49,1%</v>
      </c>
      <c r="L16" s="65" t="str">
        <f t="shared" si="4"/>
        <v>▲30,9%</v>
      </c>
      <c r="N16" s="53"/>
      <c r="O16" s="53"/>
      <c r="P16" s="53"/>
      <c r="Q16" s="53"/>
      <c r="R16" s="53"/>
      <c r="S16" s="53"/>
      <c r="U16" s="86" t="s">
        <v>27</v>
      </c>
      <c r="V16" s="87">
        <v>6538</v>
      </c>
      <c r="W16" s="84">
        <v>7349</v>
      </c>
      <c r="X16" s="84">
        <v>10134</v>
      </c>
      <c r="Y16" s="83">
        <v>8897</v>
      </c>
      <c r="Z16" s="83">
        <v>13264</v>
      </c>
      <c r="AA16" s="88">
        <v>17362</v>
      </c>
      <c r="AB16" s="62" t="str">
        <f t="shared" si="6"/>
        <v>▲12,4%</v>
      </c>
      <c r="AC16" s="63" t="str">
        <f t="shared" si="7"/>
        <v>▲21,1%</v>
      </c>
      <c r="AD16" s="63" t="str">
        <f t="shared" si="8"/>
        <v>▼12,2%</v>
      </c>
      <c r="AE16" s="64" t="str">
        <f t="shared" si="9"/>
        <v>▲49,1%</v>
      </c>
      <c r="AF16" s="65" t="str">
        <f t="shared" si="10"/>
        <v>▲30,9%</v>
      </c>
    </row>
    <row r="17" spans="1:32" ht="12.75" customHeight="1" x14ac:dyDescent="0.25">
      <c r="A17" s="89" t="s">
        <v>28</v>
      </c>
      <c r="B17" s="70">
        <v>711</v>
      </c>
      <c r="C17" s="72">
        <v>785</v>
      </c>
      <c r="D17" s="72">
        <v>2173</v>
      </c>
      <c r="E17" s="71">
        <v>1415</v>
      </c>
      <c r="F17" s="71">
        <v>2878</v>
      </c>
      <c r="G17" s="73">
        <v>2945</v>
      </c>
      <c r="H17" s="74" t="str">
        <f t="shared" si="0"/>
        <v>▲10,4%</v>
      </c>
      <c r="I17" s="75" t="str">
        <f t="shared" si="1"/>
        <v>▲80,3%</v>
      </c>
      <c r="J17" s="75" t="str">
        <f t="shared" si="2"/>
        <v>▼34,9%</v>
      </c>
      <c r="K17" s="76" t="str">
        <f t="shared" si="3"/>
        <v>▲103,4%</v>
      </c>
      <c r="L17" s="77" t="str">
        <f t="shared" si="4"/>
        <v>▲2,3%</v>
      </c>
      <c r="N17" s="53"/>
      <c r="O17" s="53"/>
      <c r="P17" s="53"/>
      <c r="Q17" s="53"/>
      <c r="R17" s="53"/>
      <c r="S17" s="53"/>
      <c r="U17" s="90" t="s">
        <v>28</v>
      </c>
      <c r="V17" s="79">
        <v>711</v>
      </c>
      <c r="W17" s="72">
        <v>785</v>
      </c>
      <c r="X17" s="72">
        <v>2173</v>
      </c>
      <c r="Y17" s="71">
        <v>1415</v>
      </c>
      <c r="Z17" s="71">
        <v>2878</v>
      </c>
      <c r="AA17" s="91">
        <v>2945</v>
      </c>
      <c r="AB17" s="74" t="str">
        <f t="shared" si="6"/>
        <v>▲10,4%</v>
      </c>
      <c r="AC17" s="75" t="str">
        <f t="shared" si="7"/>
        <v>▲80,3%</v>
      </c>
      <c r="AD17" s="75" t="str">
        <f t="shared" si="8"/>
        <v>▼34,9%</v>
      </c>
      <c r="AE17" s="76" t="str">
        <f t="shared" si="9"/>
        <v>▲103,4%</v>
      </c>
      <c r="AF17" s="77" t="str">
        <f t="shared" si="10"/>
        <v>▲2,3%</v>
      </c>
    </row>
    <row r="18" spans="1:32" ht="12.75" customHeight="1" x14ac:dyDescent="0.25">
      <c r="A18" s="57" t="s">
        <v>29</v>
      </c>
      <c r="B18" s="58">
        <f>81375+1279</f>
        <v>82654</v>
      </c>
      <c r="C18" s="60">
        <f>78312+3454</f>
        <v>81766</v>
      </c>
      <c r="D18" s="60">
        <v>84313</v>
      </c>
      <c r="E18" s="59">
        <v>89950</v>
      </c>
      <c r="F18" s="59">
        <v>93684</v>
      </c>
      <c r="G18" s="61">
        <v>103375</v>
      </c>
      <c r="H18" s="62" t="str">
        <f t="shared" si="0"/>
        <v>▼1,1%</v>
      </c>
      <c r="I18" s="63" t="str">
        <f t="shared" si="1"/>
        <v>▲10,0%</v>
      </c>
      <c r="J18" s="63" t="str">
        <f t="shared" si="2"/>
        <v>▲6,7%</v>
      </c>
      <c r="K18" s="64" t="str">
        <f t="shared" si="3"/>
        <v>▲4,2%</v>
      </c>
      <c r="L18" s="65" t="str">
        <f t="shared" si="4"/>
        <v>▲10,3%</v>
      </c>
      <c r="N18" s="53">
        <f>+Adjustments!C27</f>
        <v>4145.9252893333332</v>
      </c>
      <c r="O18" s="53">
        <f>+Adjustments!D27</f>
        <v>2161.8264549999999</v>
      </c>
      <c r="P18" s="53">
        <f>+Adjustments!E27</f>
        <v>2161.8264549999999</v>
      </c>
      <c r="Q18" s="53">
        <f>+Adjustments!F27</f>
        <v>2161.8264549999999</v>
      </c>
      <c r="R18" s="53">
        <f>+Adjustments!G27</f>
        <v>2295.5802574269997</v>
      </c>
      <c r="S18" s="53">
        <f>+Adjustments!H27</f>
        <v>2611.5364618267799</v>
      </c>
      <c r="U18" s="66" t="s">
        <v>29</v>
      </c>
      <c r="V18" s="67">
        <f>B18-N18</f>
        <v>78508.074710666668</v>
      </c>
      <c r="W18" s="58">
        <f t="shared" ref="W18:AA18" si="13">C18-O18</f>
        <v>79604.173544999998</v>
      </c>
      <c r="X18" s="58">
        <f t="shared" si="13"/>
        <v>82151.173544999998</v>
      </c>
      <c r="Y18" s="58">
        <f t="shared" si="13"/>
        <v>87788.173544999998</v>
      </c>
      <c r="Z18" s="58">
        <f t="shared" si="13"/>
        <v>91388.419742572994</v>
      </c>
      <c r="AA18" s="68">
        <f t="shared" si="13"/>
        <v>100763.46353817322</v>
      </c>
      <c r="AB18" s="62" t="str">
        <f t="shared" si="6"/>
        <v>▲1,4%</v>
      </c>
      <c r="AC18" s="63" t="str">
        <f t="shared" si="7"/>
        <v>▲10,3%</v>
      </c>
      <c r="AD18" s="63" t="str">
        <f t="shared" si="8"/>
        <v>▲6,9%</v>
      </c>
      <c r="AE18" s="64" t="str">
        <f t="shared" si="9"/>
        <v>▲4,1%</v>
      </c>
      <c r="AF18" s="65" t="str">
        <f t="shared" si="10"/>
        <v>▲10,3%</v>
      </c>
    </row>
    <row r="19" spans="1:32" ht="12.75" customHeight="1" x14ac:dyDescent="0.25">
      <c r="A19" s="94" t="s">
        <v>30</v>
      </c>
      <c r="B19" s="95">
        <f>B7-B18</f>
        <v>200795</v>
      </c>
      <c r="C19" s="95">
        <f t="shared" ref="C19:G19" si="14">C7-C18</f>
        <v>219375</v>
      </c>
      <c r="D19" s="95">
        <f t="shared" si="14"/>
        <v>244020</v>
      </c>
      <c r="E19" s="95">
        <f t="shared" si="14"/>
        <v>260382</v>
      </c>
      <c r="F19" s="95">
        <f t="shared" si="14"/>
        <v>278669</v>
      </c>
      <c r="G19" s="95">
        <f t="shared" si="14"/>
        <v>321053</v>
      </c>
      <c r="H19" s="74" t="str">
        <f t="shared" si="0"/>
        <v>▲9,3%</v>
      </c>
      <c r="I19" s="75" t="str">
        <f t="shared" si="1"/>
        <v>▲18,7%</v>
      </c>
      <c r="J19" s="75" t="str">
        <f t="shared" si="2"/>
        <v>▲6,7%</v>
      </c>
      <c r="K19" s="76" t="str">
        <f t="shared" si="3"/>
        <v>▲7,0%</v>
      </c>
      <c r="L19" s="77" t="str">
        <f t="shared" si="4"/>
        <v>▲15,2%</v>
      </c>
      <c r="N19" s="53"/>
      <c r="O19" s="53"/>
      <c r="P19" s="53"/>
      <c r="Q19" s="53"/>
      <c r="R19" s="53"/>
      <c r="S19" s="53"/>
      <c r="U19" s="96" t="s">
        <v>30</v>
      </c>
      <c r="V19" s="97">
        <f>V7-V18</f>
        <v>202887.01</v>
      </c>
      <c r="W19" s="95">
        <f t="shared" ref="W19:AA19" si="15">W7-W18</f>
        <v>221775.64322900001</v>
      </c>
      <c r="X19" s="95">
        <f t="shared" si="15"/>
        <v>246461.24208058001</v>
      </c>
      <c r="Y19" s="95">
        <f t="shared" si="15"/>
        <v>262823.24208057998</v>
      </c>
      <c r="Z19" s="95">
        <f t="shared" si="15"/>
        <v>281263.27556117205</v>
      </c>
      <c r="AA19" s="98">
        <f t="shared" si="15"/>
        <v>324005.04910809611</v>
      </c>
      <c r="AB19" s="74" t="str">
        <f t="shared" si="6"/>
        <v>▲9,3%</v>
      </c>
      <c r="AC19" s="75" t="str">
        <f t="shared" si="7"/>
        <v>▲18,5%</v>
      </c>
      <c r="AD19" s="75" t="str">
        <f t="shared" si="8"/>
        <v>▲6,6%</v>
      </c>
      <c r="AE19" s="76" t="str">
        <f t="shared" si="9"/>
        <v>▲7,0%</v>
      </c>
      <c r="AF19" s="77" t="str">
        <f t="shared" si="10"/>
        <v>▲15,2%</v>
      </c>
    </row>
    <row r="20" spans="1:32" ht="12.75" customHeight="1" x14ac:dyDescent="0.25">
      <c r="A20" s="92" t="s">
        <v>31</v>
      </c>
      <c r="B20" s="82">
        <v>91915</v>
      </c>
      <c r="C20" s="84">
        <v>96259</v>
      </c>
      <c r="D20" s="84">
        <v>102939</v>
      </c>
      <c r="E20" s="83">
        <v>103460</v>
      </c>
      <c r="F20" s="83">
        <v>111303</v>
      </c>
      <c r="G20" s="85">
        <v>121421</v>
      </c>
      <c r="H20" s="62" t="str">
        <f t="shared" si="0"/>
        <v>▲4,7%</v>
      </c>
      <c r="I20" s="63" t="str">
        <f t="shared" si="1"/>
        <v>▲7,5%</v>
      </c>
      <c r="J20" s="63" t="str">
        <f t="shared" si="2"/>
        <v>▲0,5%</v>
      </c>
      <c r="K20" s="64" t="str">
        <f t="shared" si="3"/>
        <v>▲7,6%</v>
      </c>
      <c r="L20" s="65" t="str">
        <f t="shared" si="4"/>
        <v>▲9,1%</v>
      </c>
      <c r="N20" s="53">
        <f>+Adjustments!C28</f>
        <v>-26974.603741333332</v>
      </c>
      <c r="O20" s="53">
        <f>+Adjustments!D28</f>
        <v>-25828.493581999999</v>
      </c>
      <c r="P20" s="53">
        <f>+Adjustments!E28</f>
        <v>-25828.493581999999</v>
      </c>
      <c r="Q20" s="53">
        <f>+Adjustments!F28</f>
        <v>-25828.493581999999</v>
      </c>
      <c r="R20" s="53">
        <f>+Adjustments!G28</f>
        <v>-25828.493581999999</v>
      </c>
      <c r="S20" s="53">
        <f>+Adjustments!H28</f>
        <v>-25828.493581999999</v>
      </c>
      <c r="U20" s="93" t="s">
        <v>31</v>
      </c>
      <c r="V20" s="87">
        <f>+B20-N20</f>
        <v>118889.60374133333</v>
      </c>
      <c r="W20" s="82">
        <f t="shared" ref="W20:AA20" si="16">+C20-O20</f>
        <v>122087.493582</v>
      </c>
      <c r="X20" s="82">
        <f t="shared" si="16"/>
        <v>128767.493582</v>
      </c>
      <c r="Y20" s="82">
        <f t="shared" si="16"/>
        <v>129288.493582</v>
      </c>
      <c r="Z20" s="82">
        <f t="shared" si="16"/>
        <v>137131.493582</v>
      </c>
      <c r="AA20" s="99">
        <f t="shared" si="16"/>
        <v>147249.493582</v>
      </c>
      <c r="AB20" s="62" t="str">
        <f t="shared" si="6"/>
        <v>▲2,7%</v>
      </c>
      <c r="AC20" s="63" t="str">
        <f t="shared" si="7"/>
        <v>▲5,9%</v>
      </c>
      <c r="AD20" s="63" t="str">
        <f t="shared" si="8"/>
        <v>▲0,4%</v>
      </c>
      <c r="AE20" s="64" t="str">
        <f t="shared" si="9"/>
        <v>▲6,1%</v>
      </c>
      <c r="AF20" s="65" t="str">
        <f t="shared" si="10"/>
        <v>▲7,4%</v>
      </c>
    </row>
    <row r="21" spans="1:32" ht="12.75" customHeight="1" x14ac:dyDescent="0.25">
      <c r="A21" s="100" t="s">
        <v>32</v>
      </c>
      <c r="B21" s="101">
        <f>B19-B20</f>
        <v>108880</v>
      </c>
      <c r="C21" s="101">
        <f>C19-C20</f>
        <v>123116</v>
      </c>
      <c r="D21" s="101">
        <f t="shared" ref="C21:G21" si="17">D19-D20</f>
        <v>141081</v>
      </c>
      <c r="E21" s="101">
        <f t="shared" si="17"/>
        <v>156922</v>
      </c>
      <c r="F21" s="101">
        <f t="shared" si="17"/>
        <v>167366</v>
      </c>
      <c r="G21" s="101">
        <f t="shared" si="17"/>
        <v>199632</v>
      </c>
      <c r="H21" s="102" t="str">
        <f t="shared" si="0"/>
        <v>▲13,1%</v>
      </c>
      <c r="I21" s="103" t="str">
        <f t="shared" si="1"/>
        <v>▲27,5%</v>
      </c>
      <c r="J21" s="103" t="str">
        <f t="shared" si="2"/>
        <v>▲11,2%</v>
      </c>
      <c r="K21" s="104" t="str">
        <f t="shared" si="3"/>
        <v>▲6,7%</v>
      </c>
      <c r="L21" s="105" t="str">
        <f t="shared" si="4"/>
        <v>▲19,3%</v>
      </c>
      <c r="N21" s="53"/>
      <c r="O21" s="53"/>
      <c r="P21" s="53"/>
      <c r="Q21" s="53"/>
      <c r="R21" s="53"/>
      <c r="S21" s="53"/>
      <c r="U21" s="106" t="s">
        <v>32</v>
      </c>
      <c r="V21" s="107">
        <f>V19-V20</f>
        <v>83997.406258666684</v>
      </c>
      <c r="W21" s="101">
        <f t="shared" ref="W21:AA21" si="18">W19-W20</f>
        <v>99688.149647000013</v>
      </c>
      <c r="X21" s="101">
        <f t="shared" si="18"/>
        <v>117693.74849858001</v>
      </c>
      <c r="Y21" s="101">
        <f t="shared" si="18"/>
        <v>133534.74849857998</v>
      </c>
      <c r="Z21" s="101">
        <f t="shared" si="18"/>
        <v>144131.78197917205</v>
      </c>
      <c r="AA21" s="108">
        <f t="shared" si="18"/>
        <v>176755.55552609611</v>
      </c>
      <c r="AB21" s="102" t="str">
        <f t="shared" si="6"/>
        <v>▲18,7%</v>
      </c>
      <c r="AC21" s="103" t="str">
        <f t="shared" si="7"/>
        <v>▲34,0%</v>
      </c>
      <c r="AD21" s="103" t="str">
        <f t="shared" si="8"/>
        <v>▲13,5%</v>
      </c>
      <c r="AE21" s="104" t="str">
        <f t="shared" si="9"/>
        <v>▲7,9%</v>
      </c>
      <c r="AF21" s="105" t="str">
        <f t="shared" si="10"/>
        <v>▲22,6%</v>
      </c>
    </row>
    <row r="22" spans="1:32" ht="12.75" customHeight="1" x14ac:dyDescent="0.25">
      <c r="A22" s="92" t="s">
        <v>33</v>
      </c>
      <c r="B22" s="82">
        <v>72876</v>
      </c>
      <c r="C22" s="84">
        <f>75312</f>
        <v>75312</v>
      </c>
      <c r="D22" s="84">
        <v>80867</v>
      </c>
      <c r="E22" s="83">
        <v>81255</v>
      </c>
      <c r="F22" s="83">
        <v>97814</v>
      </c>
      <c r="G22" s="85">
        <v>117318</v>
      </c>
      <c r="H22" s="62" t="str">
        <f t="shared" si="0"/>
        <v>▲3,3%</v>
      </c>
      <c r="I22" s="63" t="str">
        <f t="shared" si="1"/>
        <v>▲7,9%</v>
      </c>
      <c r="J22" s="63" t="str">
        <f t="shared" si="2"/>
        <v>▲0,5%</v>
      </c>
      <c r="K22" s="64" t="str">
        <f t="shared" si="3"/>
        <v>▲20,4%</v>
      </c>
      <c r="L22" s="65" t="str">
        <f t="shared" si="4"/>
        <v>▲19,9%</v>
      </c>
      <c r="N22" s="53">
        <f>+Adjustments!C30</f>
        <v>17775.8478986667</v>
      </c>
      <c r="O22" s="53">
        <f>+Adjustments!D30</f>
        <v>17636.599807666702</v>
      </c>
      <c r="P22" s="53">
        <f>+Adjustments!E30</f>
        <v>17636.599807666702</v>
      </c>
      <c r="Q22" s="53">
        <f>+Adjustments!F30</f>
        <v>17636.599807666702</v>
      </c>
      <c r="R22" s="53">
        <f>+Adjustments!G30</f>
        <v>17502.846005239702</v>
      </c>
      <c r="S22" s="53">
        <f>+Adjustments!H30</f>
        <v>17186.889800839919</v>
      </c>
      <c r="U22" s="93" t="s">
        <v>33</v>
      </c>
      <c r="V22" s="87">
        <f>+B22-N22</f>
        <v>55100.152101333297</v>
      </c>
      <c r="W22" s="82">
        <f t="shared" ref="W22:AA22" si="19">+C22-O22</f>
        <v>57675.400192333298</v>
      </c>
      <c r="X22" s="82">
        <f t="shared" si="19"/>
        <v>63230.400192333298</v>
      </c>
      <c r="Y22" s="82">
        <f t="shared" si="19"/>
        <v>63618.400192333298</v>
      </c>
      <c r="Z22" s="82">
        <f t="shared" si="19"/>
        <v>80311.153994760301</v>
      </c>
      <c r="AA22" s="99">
        <f t="shared" si="19"/>
        <v>100131.11019916009</v>
      </c>
      <c r="AB22" s="62" t="str">
        <f t="shared" si="6"/>
        <v>▲4,7%</v>
      </c>
      <c r="AC22" s="63" t="str">
        <f t="shared" si="7"/>
        <v>▲10,3%</v>
      </c>
      <c r="AD22" s="63" t="str">
        <f t="shared" si="8"/>
        <v>▲0,6%</v>
      </c>
      <c r="AE22" s="64" t="str">
        <f t="shared" si="9"/>
        <v>▲26,2%</v>
      </c>
      <c r="AF22" s="65" t="str">
        <f t="shared" si="10"/>
        <v>▲24,7%</v>
      </c>
    </row>
    <row r="23" spans="1:32" ht="12.75" customHeight="1" x14ac:dyDescent="0.25">
      <c r="A23" s="100" t="s">
        <v>34</v>
      </c>
      <c r="B23" s="101">
        <f>B21-B22</f>
        <v>36004</v>
      </c>
      <c r="C23" s="101">
        <f t="shared" ref="C23:G23" si="20">C21-C22</f>
        <v>47804</v>
      </c>
      <c r="D23" s="101">
        <f t="shared" si="20"/>
        <v>60214</v>
      </c>
      <c r="E23" s="101">
        <f t="shared" si="20"/>
        <v>75667</v>
      </c>
      <c r="F23" s="101">
        <f t="shared" si="20"/>
        <v>69552</v>
      </c>
      <c r="G23" s="101">
        <f t="shared" si="20"/>
        <v>82314</v>
      </c>
      <c r="H23" s="102" t="str">
        <f t="shared" si="0"/>
        <v>▲32,8%</v>
      </c>
      <c r="I23" s="103" t="str">
        <f t="shared" si="1"/>
        <v>▲58,3%</v>
      </c>
      <c r="J23" s="103" t="str">
        <f t="shared" si="2"/>
        <v>▲25,7%</v>
      </c>
      <c r="K23" s="104" t="str">
        <f t="shared" si="3"/>
        <v>▼8,1%</v>
      </c>
      <c r="L23" s="105" t="str">
        <f t="shared" si="4"/>
        <v>▲18,3%</v>
      </c>
      <c r="N23" s="53"/>
      <c r="O23" s="53"/>
      <c r="P23" s="53"/>
      <c r="Q23" s="53"/>
      <c r="R23" s="53"/>
      <c r="S23" s="53"/>
      <c r="U23" s="106" t="s">
        <v>34</v>
      </c>
      <c r="V23" s="107">
        <f>V21-V22</f>
        <v>28897.254157333387</v>
      </c>
      <c r="W23" s="101">
        <f t="shared" ref="W23:AA23" si="21">W21-W22</f>
        <v>42012.749454666715</v>
      </c>
      <c r="X23" s="101">
        <f t="shared" si="21"/>
        <v>54463.348306246713</v>
      </c>
      <c r="Y23" s="101">
        <f t="shared" si="21"/>
        <v>69916.348306246684</v>
      </c>
      <c r="Z23" s="101">
        <f t="shared" si="21"/>
        <v>63820.627984411753</v>
      </c>
      <c r="AA23" s="108">
        <f t="shared" si="21"/>
        <v>76624.445326936024</v>
      </c>
      <c r="AB23" s="102" t="str">
        <f t="shared" si="6"/>
        <v>▲45,4%</v>
      </c>
      <c r="AC23" s="103" t="str">
        <f t="shared" si="7"/>
        <v>▲66,4%</v>
      </c>
      <c r="AD23" s="103" t="str">
        <f t="shared" si="8"/>
        <v>▲28,4%</v>
      </c>
      <c r="AE23" s="104" t="str">
        <f t="shared" si="9"/>
        <v>▼8,7%</v>
      </c>
      <c r="AF23" s="105" t="str">
        <f t="shared" si="10"/>
        <v>▲20,1%</v>
      </c>
    </row>
    <row r="24" spans="1:32" ht="12.75" customHeight="1" x14ac:dyDescent="0.25">
      <c r="A24" s="92" t="s">
        <v>35</v>
      </c>
      <c r="B24" s="82">
        <v>18334</v>
      </c>
      <c r="C24" s="84">
        <v>19946</v>
      </c>
      <c r="D24" s="84">
        <v>22095</v>
      </c>
      <c r="E24" s="83">
        <v>22553</v>
      </c>
      <c r="F24" s="83">
        <v>21178</v>
      </c>
      <c r="G24" s="85">
        <v>19300</v>
      </c>
      <c r="H24" s="62" t="str">
        <f t="shared" si="0"/>
        <v>▲8,8%</v>
      </c>
      <c r="I24" s="63" t="str">
        <f t="shared" si="1"/>
        <v>▲13,1%</v>
      </c>
      <c r="J24" s="63" t="str">
        <f t="shared" si="2"/>
        <v>▲2,1%</v>
      </c>
      <c r="K24" s="64" t="str">
        <f t="shared" si="3"/>
        <v>▼6,1%</v>
      </c>
      <c r="L24" s="65" t="str">
        <f t="shared" si="4"/>
        <v>▼8,9%</v>
      </c>
      <c r="N24" s="53">
        <f>+Adjustments!C31</f>
        <v>10948.811914666665</v>
      </c>
      <c r="O24" s="53">
        <f>+Adjustments!D31</f>
        <v>8832.6109146666986</v>
      </c>
      <c r="P24" s="53">
        <f>+Adjustments!E31</f>
        <v>8832.6109146666986</v>
      </c>
      <c r="Q24" s="53">
        <f>+Adjustments!F31</f>
        <v>8832.6109146666986</v>
      </c>
      <c r="R24" s="53">
        <f>+Adjustments!G31</f>
        <v>8832.6109146666986</v>
      </c>
      <c r="S24" s="53">
        <f>+Adjustments!H31</f>
        <v>8832.6109146666986</v>
      </c>
      <c r="U24" s="93" t="s">
        <v>35</v>
      </c>
      <c r="V24" s="87">
        <f>B24-N24</f>
        <v>7385.188085333335</v>
      </c>
      <c r="W24" s="82">
        <f t="shared" ref="W24:AA25" si="22">C24-O24</f>
        <v>11113.389085333301</v>
      </c>
      <c r="X24" s="82">
        <f t="shared" si="22"/>
        <v>13262.389085333301</v>
      </c>
      <c r="Y24" s="82">
        <f t="shared" si="22"/>
        <v>13720.389085333301</v>
      </c>
      <c r="Z24" s="82">
        <f t="shared" si="22"/>
        <v>12345.389085333301</v>
      </c>
      <c r="AA24" s="99">
        <f t="shared" si="22"/>
        <v>10467.389085333301</v>
      </c>
      <c r="AB24" s="62" t="str">
        <f t="shared" si="6"/>
        <v>▲50,5%</v>
      </c>
      <c r="AC24" s="63" t="str">
        <f t="shared" si="7"/>
        <v>▲23,5%</v>
      </c>
      <c r="AD24" s="63" t="str">
        <f t="shared" si="8"/>
        <v>▲3,5%</v>
      </c>
      <c r="AE24" s="64" t="str">
        <f t="shared" si="9"/>
        <v>▼10,0%</v>
      </c>
      <c r="AF24" s="65" t="str">
        <f t="shared" si="10"/>
        <v>▼15,2%</v>
      </c>
    </row>
    <row r="25" spans="1:32" ht="12.75" customHeight="1" x14ac:dyDescent="0.25">
      <c r="A25" s="89" t="s">
        <v>36</v>
      </c>
      <c r="B25" s="70">
        <v>7075</v>
      </c>
      <c r="C25" s="72">
        <v>6817</v>
      </c>
      <c r="D25" s="72">
        <v>13384</v>
      </c>
      <c r="E25" s="71">
        <v>16991</v>
      </c>
      <c r="F25" s="71">
        <v>16973</v>
      </c>
      <c r="G25" s="73">
        <v>22097</v>
      </c>
      <c r="H25" s="74" t="str">
        <f t="shared" si="0"/>
        <v>▼3,6%</v>
      </c>
      <c r="I25" s="75" t="str">
        <f t="shared" si="1"/>
        <v>▲149,2%</v>
      </c>
      <c r="J25" s="75" t="str">
        <f t="shared" si="2"/>
        <v>▲27,0%</v>
      </c>
      <c r="K25" s="76" t="str">
        <f t="shared" si="3"/>
        <v>▼0,1%</v>
      </c>
      <c r="L25" s="77" t="str">
        <f t="shared" si="4"/>
        <v>▲30,2%</v>
      </c>
      <c r="N25" s="53">
        <f>+Adjustments!C33</f>
        <v>-595.22914800000001</v>
      </c>
      <c r="O25" s="53">
        <f>+Adjustments!D33</f>
        <v>-1368.8821480000001</v>
      </c>
      <c r="P25" s="53">
        <f>+Adjustments!E33</f>
        <v>-1000</v>
      </c>
      <c r="Q25" s="53">
        <f>+Adjustments!F33</f>
        <v>-1000</v>
      </c>
      <c r="R25" s="53">
        <f>+Adjustments!G33</f>
        <v>-1000</v>
      </c>
      <c r="S25" s="53">
        <f>+Adjustments!H33</f>
        <v>-1000</v>
      </c>
      <c r="U25" s="90" t="s">
        <v>36</v>
      </c>
      <c r="V25" s="79">
        <f>B25-N25</f>
        <v>7670.2291480000004</v>
      </c>
      <c r="W25" s="70">
        <f t="shared" si="22"/>
        <v>8185.8821480000006</v>
      </c>
      <c r="X25" s="70">
        <f t="shared" si="22"/>
        <v>14384</v>
      </c>
      <c r="Y25" s="70">
        <f t="shared" si="22"/>
        <v>17991</v>
      </c>
      <c r="Z25" s="70">
        <f t="shared" si="22"/>
        <v>17973</v>
      </c>
      <c r="AA25" s="80">
        <f t="shared" si="22"/>
        <v>23097</v>
      </c>
      <c r="AB25" s="74" t="str">
        <f t="shared" si="6"/>
        <v>▲6,7%</v>
      </c>
      <c r="AC25" s="75" t="str">
        <f t="shared" si="7"/>
        <v>▲119,8%</v>
      </c>
      <c r="AD25" s="75" t="str">
        <f t="shared" si="8"/>
        <v>▲25,1%</v>
      </c>
      <c r="AE25" s="76" t="str">
        <f t="shared" si="9"/>
        <v>▼0,1%</v>
      </c>
      <c r="AF25" s="77" t="str">
        <f t="shared" si="10"/>
        <v>▲28,5%</v>
      </c>
    </row>
    <row r="26" spans="1:32" ht="12.75" customHeight="1" x14ac:dyDescent="0.25">
      <c r="A26" s="100" t="s">
        <v>37</v>
      </c>
      <c r="B26" s="101">
        <f>B23-B24-B25</f>
        <v>10595</v>
      </c>
      <c r="C26" s="101">
        <f t="shared" ref="C26:G26" si="23">C23-C24-C25</f>
        <v>21041</v>
      </c>
      <c r="D26" s="101">
        <f t="shared" si="23"/>
        <v>24735</v>
      </c>
      <c r="E26" s="101">
        <f t="shared" si="23"/>
        <v>36123</v>
      </c>
      <c r="F26" s="101">
        <f t="shared" si="23"/>
        <v>31401</v>
      </c>
      <c r="G26" s="101">
        <f t="shared" si="23"/>
        <v>40917</v>
      </c>
      <c r="H26" s="102" t="str">
        <f t="shared" si="0"/>
        <v>▲98,6%</v>
      </c>
      <c r="I26" s="103" t="str">
        <f t="shared" si="1"/>
        <v>▲71,7%</v>
      </c>
      <c r="J26" s="103" t="str">
        <f t="shared" si="2"/>
        <v>▲46,0%</v>
      </c>
      <c r="K26" s="104" t="str">
        <f t="shared" si="3"/>
        <v>▼13,1%</v>
      </c>
      <c r="L26" s="105" t="str">
        <f t="shared" si="4"/>
        <v>▲30,3%</v>
      </c>
      <c r="N26" s="109"/>
      <c r="U26" s="106" t="s">
        <v>37</v>
      </c>
      <c r="V26" s="107">
        <f>V23-V24-V25</f>
        <v>13841.836924000052</v>
      </c>
      <c r="W26" s="101">
        <f t="shared" ref="W26:AA26" si="24">W23-W24-W25</f>
        <v>22713.478221333415</v>
      </c>
      <c r="X26" s="101">
        <f t="shared" si="24"/>
        <v>26816.959220913413</v>
      </c>
      <c r="Y26" s="101">
        <f t="shared" si="24"/>
        <v>38204.959220913384</v>
      </c>
      <c r="Z26" s="101">
        <f t="shared" si="24"/>
        <v>33502.238899078453</v>
      </c>
      <c r="AA26" s="108">
        <f t="shared" si="24"/>
        <v>43060.056241602724</v>
      </c>
      <c r="AB26" s="102" t="str">
        <f t="shared" si="6"/>
        <v>▲64,1%</v>
      </c>
      <c r="AC26" s="103" t="str">
        <f t="shared" si="7"/>
        <v>▲68,2%</v>
      </c>
      <c r="AD26" s="103" t="str">
        <f t="shared" si="8"/>
        <v>▲42,5%</v>
      </c>
      <c r="AE26" s="104" t="str">
        <f t="shared" si="9"/>
        <v>▼12,3%</v>
      </c>
      <c r="AF26" s="105" t="str">
        <f t="shared" si="10"/>
        <v>▲28,5%</v>
      </c>
    </row>
    <row r="27" spans="1:32" ht="10" customHeight="1" x14ac:dyDescent="0.25">
      <c r="A27" s="89"/>
      <c r="B27" s="70"/>
      <c r="C27" s="72"/>
      <c r="D27" s="72"/>
      <c r="E27" s="71"/>
      <c r="F27" s="71"/>
      <c r="G27" s="73"/>
      <c r="H27" s="110"/>
      <c r="I27" s="111"/>
      <c r="J27" s="111"/>
      <c r="K27" s="112"/>
      <c r="L27" s="113"/>
      <c r="U27" s="90"/>
      <c r="V27" s="79"/>
      <c r="W27" s="72"/>
      <c r="X27" s="72"/>
      <c r="Y27" s="71"/>
      <c r="Z27" s="71"/>
      <c r="AA27" s="91"/>
      <c r="AB27" s="110"/>
      <c r="AC27" s="111"/>
      <c r="AD27" s="111"/>
      <c r="AE27" s="112"/>
      <c r="AF27" s="113"/>
    </row>
    <row r="28" spans="1:32" ht="12.75" customHeight="1" x14ac:dyDescent="0.25">
      <c r="A28" s="92" t="s">
        <v>38</v>
      </c>
      <c r="B28" s="82">
        <v>45099</v>
      </c>
      <c r="C28" s="84">
        <v>64862</v>
      </c>
      <c r="D28" s="84">
        <v>86641</v>
      </c>
      <c r="E28" s="83">
        <v>106434</v>
      </c>
      <c r="F28" s="83">
        <v>79152</v>
      </c>
      <c r="G28" s="85">
        <v>77427</v>
      </c>
      <c r="H28" s="62" t="str">
        <f>IFERROR(IF(C28/B28-1&gt;=0,"▲","▼")&amp;TEXT(ABS(C28/B28-1),"0,0%"),"NM")</f>
        <v>▲43,8%</v>
      </c>
      <c r="I28" s="63" t="str">
        <f>IFERROR(IF(E28/C28-1&gt;=0,"▲","▼")&amp;TEXT(ABS(E28/C28-1),"0,0%"),"NM")</f>
        <v>▲64,1%</v>
      </c>
      <c r="J28" s="63" t="str">
        <f>IFERROR(IF(E28/D28-1&gt;=0,"▲","▼")&amp;TEXT(ABS(E28/D28-1),"0,0%"),"NM")</f>
        <v>▲22,8%</v>
      </c>
      <c r="K28" s="64" t="str">
        <f>IFERROR(IF(F28/E28-1&gt;=0,"▲","▼")&amp;TEXT(ABS(F28/E28-1),"0,0%"),"NM")</f>
        <v>▼25,6%</v>
      </c>
      <c r="L28" s="65" t="str">
        <f>IFERROR(IF(G28/F28-1&gt;=0,"▲","▼")&amp;TEXT(ABS(G28/F28-1),"0,0%"),"NM")</f>
        <v>▼2,2%</v>
      </c>
      <c r="R28" s="114"/>
      <c r="U28" s="93" t="s">
        <v>38</v>
      </c>
      <c r="V28" s="87">
        <v>45099</v>
      </c>
      <c r="W28" s="84">
        <v>64862</v>
      </c>
      <c r="X28" s="84">
        <v>86641</v>
      </c>
      <c r="Y28" s="83">
        <v>106434</v>
      </c>
      <c r="Z28" s="83">
        <v>79152</v>
      </c>
      <c r="AA28" s="88">
        <v>77427</v>
      </c>
      <c r="AB28" s="62" t="str">
        <f>IFERROR(IF(W28/V28-1&gt;=0,"▲","▼")&amp;TEXT(ABS(W28/V28-1),"0,0%"),"NM")</f>
        <v>▲43,8%</v>
      </c>
      <c r="AC28" s="63" t="str">
        <f>IFERROR(IF(Y28/W28-1&gt;=0,"▲","▼")&amp;TEXT(ABS(Y28/W28-1),"0,0%"),"NM")</f>
        <v>▲64,1%</v>
      </c>
      <c r="AD28" s="63" t="str">
        <f>IFERROR(IF(Y28/X28-1&gt;=0,"▲","▼")&amp;TEXT(ABS(Y28/X28-1),"0,0%"),"NM")</f>
        <v>▲22,8%</v>
      </c>
      <c r="AE28" s="64" t="str">
        <f>IFERROR(IF(Z28/Y28-1&gt;=0,"▲","▼")&amp;TEXT(ABS(Z28/Y28-1),"0,0%"),"NM")</f>
        <v>▼25,6%</v>
      </c>
      <c r="AF28" s="65" t="str">
        <f>IFERROR(IF(AA28/Z28-1&gt;=0,"▲","▼")&amp;TEXT(ABS(AA28/Z28-1),"0,0%"),"NM")</f>
        <v>▼2,2%</v>
      </c>
    </row>
    <row r="29" spans="1:32" ht="10" customHeight="1" x14ac:dyDescent="0.25">
      <c r="A29" s="89"/>
      <c r="B29" s="115"/>
      <c r="C29" s="116"/>
      <c r="D29" s="116"/>
      <c r="E29" s="117"/>
      <c r="F29" s="117"/>
      <c r="G29" s="118"/>
      <c r="H29" s="110"/>
      <c r="I29" s="111"/>
      <c r="J29" s="111"/>
      <c r="K29" s="112"/>
      <c r="L29" s="113"/>
      <c r="U29" s="90"/>
      <c r="V29" s="119"/>
      <c r="W29" s="116"/>
      <c r="X29" s="116"/>
      <c r="Y29" s="117"/>
      <c r="Z29" s="117"/>
      <c r="AA29" s="120"/>
      <c r="AB29" s="110"/>
      <c r="AC29" s="111"/>
      <c r="AD29" s="111"/>
      <c r="AE29" s="112"/>
      <c r="AF29" s="113"/>
    </row>
    <row r="30" spans="1:32" ht="12.75" customHeight="1" x14ac:dyDescent="0.25">
      <c r="A30" s="92" t="s">
        <v>30</v>
      </c>
      <c r="B30" s="121" t="s">
        <v>49</v>
      </c>
      <c r="C30" s="122">
        <v>0.73799999999999999</v>
      </c>
      <c r="D30" s="122" t="s">
        <v>50</v>
      </c>
      <c r="E30" s="122">
        <v>0.74299999999999999</v>
      </c>
      <c r="F30" s="123" t="s">
        <v>51</v>
      </c>
      <c r="G30" s="124" t="s">
        <v>52</v>
      </c>
      <c r="H30" s="62" t="str">
        <f t="shared" ref="H30:H37" si="25">IFERROR(IF(IF(ISTEXT(C30),_xlfn.NUMBERVALUE(SUBSTITUTE(C30,"%",""),",",".")/100,C30)-IF(ISTEXT(B30),_xlfn.NUMBERVALUE(SUBSTITUTE(B30,"%",""),",",".")/100,B30)&gt;=0,"▲","▼")&amp;TEXT(ABS(IF(ISTEXT(C30),_xlfn.NUMBERVALUE(SUBSTITUTE(C30,"%",""),",",".")/100,C30)-IF(ISTEXT(B30),_xlfn.NUMBERVALUE(SUBSTITUTE(B30,"%",""),",",".")/100,B30))*100,"0,0")&amp;" pp","NM")</f>
        <v>▲2,8 pp</v>
      </c>
      <c r="I30" s="63" t="str">
        <f t="shared" ref="I30:I37" si="26">IFERROR(IF(IF(ISTEXT(E30),_xlfn.NUMBERVALUE(SUBSTITUTE(E30,"%",""),",",".")/100,E30)-IF(ISTEXT(C30),_xlfn.NUMBERVALUE(SUBSTITUTE(C30,"%",""),",",".")/100,C30)&gt;=0,"▲","▼")&amp;TEXT(ABS(IF(ISTEXT(E30),_xlfn.NUMBERVALUE(SUBSTITUTE(E30,"%",""),",",".")/100,E30)-IF(ISTEXT(C30),_xlfn.NUMBERVALUE(SUBSTITUTE(C30,"%",""),",",".")/100,C30))*100,"0,0")&amp;" pp","NM")</f>
        <v>▲0,5 pp</v>
      </c>
      <c r="J30" s="63" t="str">
        <f t="shared" ref="J30:L37" si="27">IFERROR(IF(IF(ISTEXT(E30),_xlfn.NUMBERVALUE(SUBSTITUTE(E30,"%",""),",",".")/100,E30)-IF(ISTEXT(D30),_xlfn.NUMBERVALUE(SUBSTITUTE(D30,"%",""),",",".")/100,D30)&gt;=0,"▲","▼")&amp;TEXT(ABS(IF(ISTEXT(E30),_xlfn.NUMBERVALUE(SUBSTITUTE(E30,"%",""),",",".")/100,E30)-IF(ISTEXT(D30),_xlfn.NUMBERVALUE(SUBSTITUTE(D30,"%",""),",",".")/100,D30))*100,"0,0")&amp;" pp","NM")</f>
        <v>▲0,0 pp</v>
      </c>
      <c r="K30" s="64" t="str">
        <f t="shared" si="27"/>
        <v>▲0,5 pp</v>
      </c>
      <c r="L30" s="65" t="str">
        <f t="shared" si="27"/>
        <v>▲0,8 pp</v>
      </c>
      <c r="U30" s="93" t="s">
        <v>30</v>
      </c>
      <c r="V30" s="125" t="s">
        <v>49</v>
      </c>
      <c r="W30" s="122">
        <v>0.73799999999999999</v>
      </c>
      <c r="X30" s="122" t="s">
        <v>50</v>
      </c>
      <c r="Y30" s="122">
        <v>0.74299999999999999</v>
      </c>
      <c r="Z30" s="123" t="s">
        <v>51</v>
      </c>
      <c r="AA30" s="126" t="s">
        <v>52</v>
      </c>
      <c r="AB30" s="62" t="str">
        <f t="shared" ref="AB30:AB37" si="28">IFERROR(IF(IF(ISTEXT(W30),_xlfn.NUMBERVALUE(SUBSTITUTE(W30,"%",""),",",".")/100,W30)-IF(ISTEXT(V30),_xlfn.NUMBERVALUE(SUBSTITUTE(V30,"%",""),",",".")/100,V30)&gt;=0,"▲","▼")&amp;TEXT(ABS(IF(ISTEXT(W30),_xlfn.NUMBERVALUE(SUBSTITUTE(W30,"%",""),",",".")/100,W30)-IF(ISTEXT(V30),_xlfn.NUMBERVALUE(SUBSTITUTE(V30,"%",""),",",".")/100,V30))*100,"0,0")&amp;" pp","NM")</f>
        <v>▲2,8 pp</v>
      </c>
      <c r="AC30" s="63" t="str">
        <f t="shared" ref="AC30:AC37" si="29">IFERROR(IF(IF(ISTEXT(Y30),_xlfn.NUMBERVALUE(SUBSTITUTE(Y30,"%",""),",",".")/100,Y30)-IF(ISTEXT(W30),_xlfn.NUMBERVALUE(SUBSTITUTE(W30,"%",""),",",".")/100,W30)&gt;=0,"▲","▼")&amp;TEXT(ABS(IF(ISTEXT(Y30),_xlfn.NUMBERVALUE(SUBSTITUTE(Y30,"%",""),",",".")/100,Y30)-IF(ISTEXT(W30),_xlfn.NUMBERVALUE(SUBSTITUTE(W30,"%",""),",",".")/100,W30))*100,"0,0")&amp;" pp","NM")</f>
        <v>▲0,5 pp</v>
      </c>
      <c r="AD30" s="63" t="str">
        <f t="shared" ref="AD30:AD37" si="30">IFERROR(IF(IF(ISTEXT(Y30),_xlfn.NUMBERVALUE(SUBSTITUTE(Y30,"%",""),",",".")/100,Y30)-IF(ISTEXT(X30),_xlfn.NUMBERVALUE(SUBSTITUTE(X30,"%",""),",",".")/100,X30)&gt;=0,"▲","▼")&amp;TEXT(ABS(IF(ISTEXT(Y30),_xlfn.NUMBERVALUE(SUBSTITUTE(Y30,"%",""),",",".")/100,Y30)-IF(ISTEXT(X30),_xlfn.NUMBERVALUE(SUBSTITUTE(X30,"%",""),",",".")/100,X30))*100,"0,0")&amp;" pp","NM")</f>
        <v>▲0,0 pp</v>
      </c>
      <c r="AE30" s="64" t="str">
        <f t="shared" ref="AE30:AE37" si="31">IFERROR(IF(IF(ISTEXT(Z30),_xlfn.NUMBERVALUE(SUBSTITUTE(Z30,"%",""),",",".")/100,Z30)-IF(ISTEXT(Y30),_xlfn.NUMBERVALUE(SUBSTITUTE(Y30,"%",""),",",".")/100,Y30)&gt;=0,"▲","▼")&amp;TEXT(ABS(IF(ISTEXT(Z30),_xlfn.NUMBERVALUE(SUBSTITUTE(Z30,"%",""),",",".")/100,Z30)-IF(ISTEXT(Y30),_xlfn.NUMBERVALUE(SUBSTITUTE(Y30,"%",""),",",".")/100,Y30))*100,"0,0")&amp;" pp","NM")</f>
        <v>▲0,5 pp</v>
      </c>
      <c r="AF30" s="65" t="str">
        <f t="shared" ref="AF30:AF37" si="32">IFERROR(IF(IF(ISTEXT(AA30),_xlfn.NUMBERVALUE(SUBSTITUTE(AA30,"%",""),",",".")/100,AA30)-IF(ISTEXT(Z30),_xlfn.NUMBERVALUE(SUBSTITUTE(Z30,"%",""),",",".")/100,Z30)&gt;=0,"▲","▼")&amp;TEXT(ABS(IF(ISTEXT(AA30),_xlfn.NUMBERVALUE(SUBSTITUTE(AA30,"%",""),",",".")/100,AA30)-IF(ISTEXT(Z30),_xlfn.NUMBERVALUE(SUBSTITUTE(Z30,"%",""),",",".")/100,Z30))*100,"0,0")&amp;" pp","NM")</f>
        <v>▲0,8 pp</v>
      </c>
    </row>
    <row r="31" spans="1:32" ht="12.75" customHeight="1" x14ac:dyDescent="0.25">
      <c r="A31" s="89" t="s">
        <v>39</v>
      </c>
      <c r="B31" s="115" t="s">
        <v>53</v>
      </c>
      <c r="C31" s="122">
        <v>0.26200000000000001</v>
      </c>
      <c r="D31" s="122" t="s">
        <v>54</v>
      </c>
      <c r="E31" s="122">
        <v>0.25700000000000001</v>
      </c>
      <c r="F31" s="117" t="s">
        <v>55</v>
      </c>
      <c r="G31" s="118" t="s">
        <v>56</v>
      </c>
      <c r="H31" s="74" t="str">
        <f t="shared" si="25"/>
        <v>▼2,8 pp</v>
      </c>
      <c r="I31" s="75" t="str">
        <f t="shared" si="26"/>
        <v>▼0,5 pp</v>
      </c>
      <c r="J31" s="75" t="str">
        <f t="shared" si="27"/>
        <v>▲0,0 pp</v>
      </c>
      <c r="K31" s="76" t="str">
        <f t="shared" si="27"/>
        <v>▼0,5 pp</v>
      </c>
      <c r="L31" s="77" t="str">
        <f t="shared" si="27"/>
        <v>▼0,8 pp</v>
      </c>
      <c r="U31" s="90" t="s">
        <v>39</v>
      </c>
      <c r="V31" s="119" t="s">
        <v>53</v>
      </c>
      <c r="W31" s="122">
        <v>0.26200000000000001</v>
      </c>
      <c r="X31" s="122" t="s">
        <v>54</v>
      </c>
      <c r="Y31" s="122">
        <v>0.25700000000000001</v>
      </c>
      <c r="Z31" s="117" t="s">
        <v>55</v>
      </c>
      <c r="AA31" s="120" t="s">
        <v>56</v>
      </c>
      <c r="AB31" s="74" t="str">
        <f t="shared" si="28"/>
        <v>▼2,8 pp</v>
      </c>
      <c r="AC31" s="75" t="str">
        <f t="shared" si="29"/>
        <v>▼0,5 pp</v>
      </c>
      <c r="AD31" s="75" t="str">
        <f t="shared" si="30"/>
        <v>▲0,0 pp</v>
      </c>
      <c r="AE31" s="76" t="str">
        <f t="shared" si="31"/>
        <v>▼0,5 pp</v>
      </c>
      <c r="AF31" s="77" t="str">
        <f t="shared" si="32"/>
        <v>▼0,8 pp</v>
      </c>
    </row>
    <row r="32" spans="1:32" ht="12.75" customHeight="1" x14ac:dyDescent="0.25">
      <c r="A32" s="92" t="s">
        <v>40</v>
      </c>
      <c r="B32" s="121" t="s">
        <v>57</v>
      </c>
      <c r="C32" s="122">
        <v>0.32200000000000001</v>
      </c>
      <c r="D32" s="122" t="s">
        <v>58</v>
      </c>
      <c r="E32" s="122">
        <v>0.29499999999999998</v>
      </c>
      <c r="F32" s="123" t="s">
        <v>59</v>
      </c>
      <c r="G32" s="124" t="s">
        <v>60</v>
      </c>
      <c r="H32" s="62" t="str">
        <f t="shared" si="25"/>
        <v>▼0,6 pp</v>
      </c>
      <c r="I32" s="63" t="str">
        <f t="shared" si="26"/>
        <v>▼2,7 pp</v>
      </c>
      <c r="J32" s="63" t="str">
        <f t="shared" si="27"/>
        <v>▼1,9 pp</v>
      </c>
      <c r="K32" s="64" t="str">
        <f t="shared" si="27"/>
        <v>▲0,4 pp</v>
      </c>
      <c r="L32" s="65" t="str">
        <f t="shared" si="27"/>
        <v>▼1,3 pp</v>
      </c>
      <c r="U32" s="93" t="s">
        <v>40</v>
      </c>
      <c r="V32" s="125" t="s">
        <v>57</v>
      </c>
      <c r="W32" s="122">
        <v>0.32200000000000001</v>
      </c>
      <c r="X32" s="122" t="s">
        <v>58</v>
      </c>
      <c r="Y32" s="122">
        <v>0.29499999999999998</v>
      </c>
      <c r="Z32" s="123" t="s">
        <v>59</v>
      </c>
      <c r="AA32" s="126" t="s">
        <v>60</v>
      </c>
      <c r="AB32" s="62" t="str">
        <f t="shared" si="28"/>
        <v>▼0,6 pp</v>
      </c>
      <c r="AC32" s="63" t="str">
        <f t="shared" si="29"/>
        <v>▼2,7 pp</v>
      </c>
      <c r="AD32" s="63" t="str">
        <f t="shared" si="30"/>
        <v>▼1,9 pp</v>
      </c>
      <c r="AE32" s="64" t="str">
        <f t="shared" si="31"/>
        <v>▲0,4 pp</v>
      </c>
      <c r="AF32" s="65" t="str">
        <f t="shared" si="32"/>
        <v>▼1,3 pp</v>
      </c>
    </row>
    <row r="33" spans="1:32" ht="12.75" customHeight="1" x14ac:dyDescent="0.25">
      <c r="A33" s="89" t="s">
        <v>41</v>
      </c>
      <c r="B33" s="115" t="s">
        <v>61</v>
      </c>
      <c r="C33" s="122">
        <v>0.58399999999999996</v>
      </c>
      <c r="D33" s="122" t="s">
        <v>62</v>
      </c>
      <c r="E33" s="122">
        <v>0.55200000000000005</v>
      </c>
      <c r="F33" s="117" t="s">
        <v>63</v>
      </c>
      <c r="G33" s="118" t="s">
        <v>64</v>
      </c>
      <c r="H33" s="74" t="str">
        <f t="shared" si="25"/>
        <v>▼3,4 pp</v>
      </c>
      <c r="I33" s="75" t="str">
        <f t="shared" si="26"/>
        <v>▼3,2 pp</v>
      </c>
      <c r="J33" s="75" t="str">
        <f t="shared" si="27"/>
        <v>▼1,8 pp</v>
      </c>
      <c r="K33" s="76" t="str">
        <f t="shared" si="27"/>
        <v>▼0,1 pp</v>
      </c>
      <c r="L33" s="77" t="str">
        <f t="shared" si="27"/>
        <v>▼2,1 pp</v>
      </c>
      <c r="U33" s="90" t="s">
        <v>41</v>
      </c>
      <c r="V33" s="119" t="s">
        <v>61</v>
      </c>
      <c r="W33" s="122">
        <v>0.58399999999999996</v>
      </c>
      <c r="X33" s="122" t="s">
        <v>62</v>
      </c>
      <c r="Y33" s="122">
        <v>0.55200000000000005</v>
      </c>
      <c r="Z33" s="117" t="s">
        <v>63</v>
      </c>
      <c r="AA33" s="120" t="s">
        <v>64</v>
      </c>
      <c r="AB33" s="74" t="str">
        <f t="shared" si="28"/>
        <v>▼3,4 pp</v>
      </c>
      <c r="AC33" s="75" t="str">
        <f t="shared" si="29"/>
        <v>▼3,2 pp</v>
      </c>
      <c r="AD33" s="75" t="str">
        <f t="shared" si="30"/>
        <v>▼1,8 pp</v>
      </c>
      <c r="AE33" s="76" t="str">
        <f t="shared" si="31"/>
        <v>▼0,1 pp</v>
      </c>
      <c r="AF33" s="77" t="str">
        <f t="shared" si="32"/>
        <v>▼2,1 pp</v>
      </c>
    </row>
    <row r="34" spans="1:32" ht="12.75" customHeight="1" x14ac:dyDescent="0.25">
      <c r="A34" s="92" t="s">
        <v>42</v>
      </c>
      <c r="B34" s="121" t="s">
        <v>65</v>
      </c>
      <c r="C34" s="122">
        <v>0.41599999999999998</v>
      </c>
      <c r="D34" s="122" t="s">
        <v>66</v>
      </c>
      <c r="E34" s="122">
        <v>0.44800000000000001</v>
      </c>
      <c r="F34" s="123" t="s">
        <v>67</v>
      </c>
      <c r="G34" s="124" t="s">
        <v>68</v>
      </c>
      <c r="H34" s="62" t="str">
        <f t="shared" si="25"/>
        <v>▲3,3 pp</v>
      </c>
      <c r="I34" s="63" t="str">
        <f t="shared" si="26"/>
        <v>▲3,2 pp</v>
      </c>
      <c r="J34" s="63" t="str">
        <f t="shared" si="27"/>
        <v>▲1,8 pp</v>
      </c>
      <c r="K34" s="64" t="str">
        <f t="shared" si="27"/>
        <v>▲0,1 pp</v>
      </c>
      <c r="L34" s="65" t="str">
        <f t="shared" si="27"/>
        <v>▲2,1 pp</v>
      </c>
      <c r="U34" s="93" t="s">
        <v>42</v>
      </c>
      <c r="V34" s="125" t="s">
        <v>65</v>
      </c>
      <c r="W34" s="122">
        <v>0.41599999999999998</v>
      </c>
      <c r="X34" s="122" t="s">
        <v>66</v>
      </c>
      <c r="Y34" s="122">
        <v>0.44800000000000001</v>
      </c>
      <c r="Z34" s="123" t="s">
        <v>67</v>
      </c>
      <c r="AA34" s="126" t="s">
        <v>68</v>
      </c>
      <c r="AB34" s="62" t="str">
        <f t="shared" si="28"/>
        <v>▲3,3 pp</v>
      </c>
      <c r="AC34" s="63" t="str">
        <f t="shared" si="29"/>
        <v>▲3,2 pp</v>
      </c>
      <c r="AD34" s="63" t="str">
        <f t="shared" si="30"/>
        <v>▲1,8 pp</v>
      </c>
      <c r="AE34" s="64" t="str">
        <f t="shared" si="31"/>
        <v>▲0,1 pp</v>
      </c>
      <c r="AF34" s="65" t="str">
        <f t="shared" si="32"/>
        <v>▲2,1 pp</v>
      </c>
    </row>
    <row r="35" spans="1:32" ht="12.75" customHeight="1" x14ac:dyDescent="0.25">
      <c r="A35" s="89" t="s">
        <v>43</v>
      </c>
      <c r="B35" s="115" t="s">
        <v>69</v>
      </c>
      <c r="C35" s="122">
        <v>0.16400000000000001</v>
      </c>
      <c r="D35" s="122" t="s">
        <v>70</v>
      </c>
      <c r="E35" s="122">
        <v>0.216</v>
      </c>
      <c r="F35" s="117" t="s">
        <v>71</v>
      </c>
      <c r="G35" s="118" t="s">
        <v>72</v>
      </c>
      <c r="H35" s="74" t="str">
        <f t="shared" si="25"/>
        <v>▲4,1 pp</v>
      </c>
      <c r="I35" s="75" t="str">
        <f t="shared" si="26"/>
        <v>▲5,2 pp</v>
      </c>
      <c r="J35" s="75" t="str">
        <f t="shared" si="27"/>
        <v>▲3,3 pp</v>
      </c>
      <c r="K35" s="76" t="str">
        <f t="shared" si="27"/>
        <v>▼2,9 pp</v>
      </c>
      <c r="L35" s="77" t="str">
        <f t="shared" si="27"/>
        <v>▲0,7 pp</v>
      </c>
      <c r="U35" s="90" t="s">
        <v>43</v>
      </c>
      <c r="V35" s="119" t="s">
        <v>69</v>
      </c>
      <c r="W35" s="122">
        <v>0.16400000000000001</v>
      </c>
      <c r="X35" s="122" t="s">
        <v>70</v>
      </c>
      <c r="Y35" s="122">
        <v>0.216</v>
      </c>
      <c r="Z35" s="117" t="s">
        <v>71</v>
      </c>
      <c r="AA35" s="120" t="s">
        <v>72</v>
      </c>
      <c r="AB35" s="74" t="str">
        <f t="shared" si="28"/>
        <v>▲4,1 pp</v>
      </c>
      <c r="AC35" s="75" t="str">
        <f t="shared" si="29"/>
        <v>▲5,2 pp</v>
      </c>
      <c r="AD35" s="75" t="str">
        <f t="shared" si="30"/>
        <v>▲3,3 pp</v>
      </c>
      <c r="AE35" s="76" t="str">
        <f t="shared" si="31"/>
        <v>▼2,9 pp</v>
      </c>
      <c r="AF35" s="77" t="str">
        <f t="shared" si="32"/>
        <v>▲0,7 pp</v>
      </c>
    </row>
    <row r="36" spans="1:32" ht="12.75" customHeight="1" thickBot="1" x14ac:dyDescent="0.3">
      <c r="A36" s="127" t="s">
        <v>44</v>
      </c>
      <c r="B36" s="128" t="s">
        <v>73</v>
      </c>
      <c r="C36" s="122">
        <v>7.4999999999999997E-2</v>
      </c>
      <c r="D36" s="122" t="s">
        <v>74</v>
      </c>
      <c r="E36" s="122">
        <v>0.10299999999999999</v>
      </c>
      <c r="F36" s="129" t="s">
        <v>75</v>
      </c>
      <c r="G36" s="130" t="s">
        <v>76</v>
      </c>
      <c r="H36" s="131" t="str">
        <f t="shared" si="25"/>
        <v>▲4,3 pp</v>
      </c>
      <c r="I36" s="132" t="str">
        <f t="shared" si="26"/>
        <v>▲2,8 pp</v>
      </c>
      <c r="J36" s="132" t="str">
        <f t="shared" si="27"/>
        <v>▲2,8 pp</v>
      </c>
      <c r="K36" s="133" t="str">
        <f t="shared" si="27"/>
        <v>▼1,9 pp</v>
      </c>
      <c r="L36" s="134" t="str">
        <f t="shared" si="27"/>
        <v>▲1,2 pp</v>
      </c>
      <c r="U36" s="135" t="s">
        <v>44</v>
      </c>
      <c r="V36" s="136" t="s">
        <v>73</v>
      </c>
      <c r="W36" s="122">
        <v>7.4999999999999997E-2</v>
      </c>
      <c r="X36" s="122" t="s">
        <v>74</v>
      </c>
      <c r="Y36" s="122">
        <v>0.10299999999999999</v>
      </c>
      <c r="Z36" s="129" t="s">
        <v>75</v>
      </c>
      <c r="AA36" s="137" t="s">
        <v>76</v>
      </c>
      <c r="AB36" s="131" t="str">
        <f t="shared" si="28"/>
        <v>▲4,3 pp</v>
      </c>
      <c r="AC36" s="132" t="str">
        <f t="shared" si="29"/>
        <v>▲2,8 pp</v>
      </c>
      <c r="AD36" s="132" t="str">
        <f t="shared" si="30"/>
        <v>▲2,8 pp</v>
      </c>
      <c r="AE36" s="133" t="str">
        <f t="shared" si="31"/>
        <v>▼1,9 pp</v>
      </c>
      <c r="AF36" s="134" t="str">
        <f t="shared" si="32"/>
        <v>▲1,2 pp</v>
      </c>
    </row>
    <row r="37" spans="1:32" ht="12.75" customHeight="1" thickBot="1" x14ac:dyDescent="0.3">
      <c r="A37" s="138" t="s">
        <v>77</v>
      </c>
      <c r="B37" s="139" t="s">
        <v>78</v>
      </c>
      <c r="C37" s="140">
        <f>C28/C7</f>
        <v>0.21538747629847813</v>
      </c>
      <c r="D37" s="140" t="s">
        <v>79</v>
      </c>
      <c r="E37" s="141">
        <f>E28/E7</f>
        <v>0.303808958359499</v>
      </c>
      <c r="F37" s="141" t="s">
        <v>80</v>
      </c>
      <c r="G37" s="142" t="s">
        <v>81</v>
      </c>
      <c r="H37" s="143" t="str">
        <f t="shared" si="25"/>
        <v>▲5,4 pp</v>
      </c>
      <c r="I37" s="144" t="str">
        <f t="shared" si="26"/>
        <v>▲8,8 pp</v>
      </c>
      <c r="J37" s="144" t="str">
        <f t="shared" si="27"/>
        <v>▲4,0 pp</v>
      </c>
      <c r="K37" s="145" t="str">
        <f t="shared" si="27"/>
        <v>▼9,1 pp</v>
      </c>
      <c r="L37" s="146" t="str">
        <f t="shared" si="27"/>
        <v>▼3,1 pp</v>
      </c>
      <c r="U37" s="147" t="s">
        <v>77</v>
      </c>
      <c r="V37" s="148" t="s">
        <v>78</v>
      </c>
      <c r="W37" s="149">
        <f>W28/W7</f>
        <v>0.21521680082723985</v>
      </c>
      <c r="X37" s="149" t="s">
        <v>79</v>
      </c>
      <c r="Y37" s="150">
        <f>Y28/Y7</f>
        <v>0.30356684139931567</v>
      </c>
      <c r="Z37" s="150" t="s">
        <v>80</v>
      </c>
      <c r="AA37" s="151" t="s">
        <v>81</v>
      </c>
      <c r="AB37" s="143" t="str">
        <f t="shared" si="28"/>
        <v>▲5,4 pp</v>
      </c>
      <c r="AC37" s="144" t="str">
        <f t="shared" si="29"/>
        <v>▲8,8 pp</v>
      </c>
      <c r="AD37" s="144" t="str">
        <f t="shared" si="30"/>
        <v>▲4,0 pp</v>
      </c>
      <c r="AE37" s="145" t="str">
        <f t="shared" si="31"/>
        <v>▼9,1 pp</v>
      </c>
      <c r="AF37" s="146" t="str">
        <f t="shared" si="32"/>
        <v>▼3,1 pp</v>
      </c>
    </row>
    <row r="38" spans="1:32" ht="7" customHeight="1" x14ac:dyDescent="0.25"/>
    <row r="39" spans="1:32" ht="16" customHeight="1" x14ac:dyDescent="0.25">
      <c r="A39" s="152">
        <v>53</v>
      </c>
    </row>
  </sheetData>
  <mergeCells count="8">
    <mergeCell ref="AB5:AF5"/>
    <mergeCell ref="U2:AF3"/>
    <mergeCell ref="N5:S5"/>
    <mergeCell ref="A1:L1"/>
    <mergeCell ref="A2:L3"/>
    <mergeCell ref="B5:G5"/>
    <mergeCell ref="H5:L5"/>
    <mergeCell ref="V5:AA5"/>
  </mergeCells>
  <conditionalFormatting sqref="H7:L17">
    <cfRule type="expression" dxfId="60" priority="30">
      <formula>LEFT(H7,1)="▲"</formula>
    </cfRule>
    <cfRule type="expression" dxfId="59" priority="31">
      <formula>LEFT(H7,1)="▼"</formula>
    </cfRule>
  </conditionalFormatting>
  <conditionalFormatting sqref="H7:L37">
    <cfRule type="expression" dxfId="58" priority="58">
      <formula>H7="NM"</formula>
    </cfRule>
  </conditionalFormatting>
  <conditionalFormatting sqref="H18:L18">
    <cfRule type="expression" dxfId="57" priority="44">
      <formula>LEFT(H18,1)="▲"</formula>
    </cfRule>
    <cfRule type="expression" dxfId="56" priority="45">
      <formula>LEFT(H18,1)="▼"</formula>
    </cfRule>
  </conditionalFormatting>
  <conditionalFormatting sqref="H19:L19">
    <cfRule type="expression" dxfId="55" priority="32">
      <formula>LEFT(H19,1)="▲"</formula>
    </cfRule>
    <cfRule type="expression" dxfId="54" priority="33">
      <formula>LEFT(H19,1)="▼"</formula>
    </cfRule>
  </conditionalFormatting>
  <conditionalFormatting sqref="H20:L20">
    <cfRule type="expression" dxfId="53" priority="46">
      <formula>LEFT(H20,1)="▲"</formula>
    </cfRule>
    <cfRule type="expression" dxfId="52" priority="47">
      <formula>LEFT(H20,1)="▼"</formula>
    </cfRule>
  </conditionalFormatting>
  <conditionalFormatting sqref="H21:L21">
    <cfRule type="expression" dxfId="51" priority="34">
      <formula>LEFT(H21,1)="▲"</formula>
    </cfRule>
    <cfRule type="expression" dxfId="50" priority="35">
      <formula>LEFT(H21,1)="▼"</formula>
    </cfRule>
  </conditionalFormatting>
  <conditionalFormatting sqref="H22:L22">
    <cfRule type="expression" dxfId="49" priority="48">
      <formula>LEFT(H22,1)="▲"</formula>
    </cfRule>
    <cfRule type="expression" dxfId="48" priority="49">
      <formula>LEFT(H22,1)="▼"</formula>
    </cfRule>
  </conditionalFormatting>
  <conditionalFormatting sqref="H23:L23">
    <cfRule type="expression" dxfId="47" priority="36">
      <formula>LEFT(H23,1)="▲"</formula>
    </cfRule>
    <cfRule type="expression" dxfId="46" priority="37">
      <formula>LEFT(H23,1)="▼"</formula>
    </cfRule>
  </conditionalFormatting>
  <conditionalFormatting sqref="H24:L25">
    <cfRule type="expression" dxfId="45" priority="50">
      <formula>LEFT(H24,1)="▲"</formula>
    </cfRule>
    <cfRule type="expression" dxfId="44" priority="51">
      <formula>LEFT(H24,1)="▼"</formula>
    </cfRule>
  </conditionalFormatting>
  <conditionalFormatting sqref="H26:L26">
    <cfRule type="expression" dxfId="43" priority="38">
      <formula>LEFT(H26,1)="▲"</formula>
    </cfRule>
    <cfRule type="expression" dxfId="42" priority="39">
      <formula>LEFT(H26,1)="▼"</formula>
    </cfRule>
  </conditionalFormatting>
  <conditionalFormatting sqref="H28:L28">
    <cfRule type="expression" dxfId="41" priority="52">
      <formula>LEFT(H28,1)="▲"</formula>
    </cfRule>
    <cfRule type="expression" dxfId="40" priority="53">
      <formula>LEFT(H28,1)="▼"</formula>
    </cfRule>
  </conditionalFormatting>
  <conditionalFormatting sqref="H30:L30">
    <cfRule type="expression" dxfId="39" priority="40">
      <formula>LEFT(H30,1)="▲"</formula>
    </cfRule>
    <cfRule type="expression" dxfId="38" priority="41">
      <formula>LEFT(H30,1)="▼"</formula>
    </cfRule>
  </conditionalFormatting>
  <conditionalFormatting sqref="H31:L33">
    <cfRule type="expression" dxfId="37" priority="54">
      <formula>LEFT(H31,1)="▲"</formula>
    </cfRule>
    <cfRule type="expression" dxfId="36" priority="55">
      <formula>LEFT(H31,1)="▼"</formula>
    </cfRule>
  </conditionalFormatting>
  <conditionalFormatting sqref="H34:L36">
    <cfRule type="expression" dxfId="35" priority="42">
      <formula>LEFT(H34,1)="▲"</formula>
    </cfRule>
    <cfRule type="expression" dxfId="34" priority="43">
      <formula>LEFT(H34,1)="▼"</formula>
    </cfRule>
  </conditionalFormatting>
  <conditionalFormatting sqref="H37:L37">
    <cfRule type="expression" dxfId="33" priority="56">
      <formula>LEFT(H37,1)="▲"</formula>
    </cfRule>
    <cfRule type="expression" dxfId="32" priority="57">
      <formula>LEFT(H37,1)="▼"</formula>
    </cfRule>
  </conditionalFormatting>
  <conditionalFormatting sqref="AB7:AF17">
    <cfRule type="expression" dxfId="28" priority="1">
      <formula>LEFT(AB7,1)="▲"</formula>
    </cfRule>
    <cfRule type="expression" dxfId="27" priority="2">
      <formula>LEFT(AB7,1)="▼"</formula>
    </cfRule>
  </conditionalFormatting>
  <conditionalFormatting sqref="AB7:AF37">
    <cfRule type="expression" dxfId="26" priority="29">
      <formula>AB7="NM"</formula>
    </cfRule>
  </conditionalFormatting>
  <conditionalFormatting sqref="AB18:AF18">
    <cfRule type="expression" dxfId="25" priority="15">
      <formula>LEFT(AB18,1)="▲"</formula>
    </cfRule>
    <cfRule type="expression" dxfId="24" priority="16">
      <formula>LEFT(AB18,1)="▼"</formula>
    </cfRule>
  </conditionalFormatting>
  <conditionalFormatting sqref="AB19:AF19">
    <cfRule type="expression" dxfId="23" priority="3">
      <formula>LEFT(AB19,1)="▲"</formula>
    </cfRule>
    <cfRule type="expression" dxfId="22" priority="4">
      <formula>LEFT(AB19,1)="▼"</formula>
    </cfRule>
  </conditionalFormatting>
  <conditionalFormatting sqref="AB20:AF20">
    <cfRule type="expression" dxfId="21" priority="17">
      <formula>LEFT(AB20,1)="▲"</formula>
    </cfRule>
    <cfRule type="expression" dxfId="20" priority="18">
      <formula>LEFT(AB20,1)="▼"</formula>
    </cfRule>
  </conditionalFormatting>
  <conditionalFormatting sqref="AB21:AF21">
    <cfRule type="expression" dxfId="19" priority="5">
      <formula>LEFT(AB21,1)="▲"</formula>
    </cfRule>
    <cfRule type="expression" dxfId="18" priority="6">
      <formula>LEFT(AB21,1)="▼"</formula>
    </cfRule>
  </conditionalFormatting>
  <conditionalFormatting sqref="AB22:AF22">
    <cfRule type="expression" dxfId="17" priority="19">
      <formula>LEFT(AB22,1)="▲"</formula>
    </cfRule>
    <cfRule type="expression" dxfId="16" priority="20">
      <formula>LEFT(AB22,1)="▼"</formula>
    </cfRule>
  </conditionalFormatting>
  <conditionalFormatting sqref="AB23:AF23">
    <cfRule type="expression" dxfId="15" priority="7">
      <formula>LEFT(AB23,1)="▲"</formula>
    </cfRule>
    <cfRule type="expression" dxfId="14" priority="8">
      <formula>LEFT(AB23,1)="▼"</formula>
    </cfRule>
  </conditionalFormatting>
  <conditionalFormatting sqref="AB24:AF25">
    <cfRule type="expression" dxfId="13" priority="21">
      <formula>LEFT(AB24,1)="▲"</formula>
    </cfRule>
    <cfRule type="expression" dxfId="12" priority="22">
      <formula>LEFT(AB24,1)="▼"</formula>
    </cfRule>
  </conditionalFormatting>
  <conditionalFormatting sqref="AB26:AF26">
    <cfRule type="expression" dxfId="11" priority="9">
      <formula>LEFT(AB26,1)="▲"</formula>
    </cfRule>
    <cfRule type="expression" dxfId="10" priority="10">
      <formula>LEFT(AB26,1)="▼"</formula>
    </cfRule>
  </conditionalFormatting>
  <conditionalFormatting sqref="AB28:AF28">
    <cfRule type="expression" dxfId="9" priority="23">
      <formula>LEFT(AB28,1)="▲"</formula>
    </cfRule>
    <cfRule type="expression" dxfId="8" priority="24">
      <formula>LEFT(AB28,1)="▼"</formula>
    </cfRule>
  </conditionalFormatting>
  <conditionalFormatting sqref="AB30:AF30">
    <cfRule type="expression" dxfId="7" priority="11">
      <formula>LEFT(AB30,1)="▲"</formula>
    </cfRule>
    <cfRule type="expression" dxfId="6" priority="12">
      <formula>LEFT(AB30,1)="▼"</formula>
    </cfRule>
  </conditionalFormatting>
  <conditionalFormatting sqref="AB31:AF33">
    <cfRule type="expression" dxfId="5" priority="25">
      <formula>LEFT(AB31,1)="▲"</formula>
    </cfRule>
    <cfRule type="expression" dxfId="4" priority="26">
      <formula>LEFT(AB31,1)="▼"</formula>
    </cfRule>
  </conditionalFormatting>
  <conditionalFormatting sqref="AB34:AF36">
    <cfRule type="expression" dxfId="3" priority="13">
      <formula>LEFT(AB34,1)="▲"</formula>
    </cfRule>
    <cfRule type="expression" dxfId="2" priority="14">
      <formula>LEFT(AB34,1)="▼"</formula>
    </cfRule>
  </conditionalFormatting>
  <conditionalFormatting sqref="AB37:AF37">
    <cfRule type="expression" dxfId="1" priority="27">
      <formula>LEFT(AB37,1)="▲"</formula>
    </cfRule>
    <cfRule type="expression" dxfId="0" priority="28">
      <formula>LEFT(AB37,1)="▼"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9BF80-1DC5-4DB4-8582-4B5424EE9D08}">
  <dimension ref="A1:N33"/>
  <sheetViews>
    <sheetView topLeftCell="A2" workbookViewId="0">
      <selection activeCell="A25" sqref="A25"/>
    </sheetView>
  </sheetViews>
  <sheetFormatPr baseColWidth="10" defaultRowHeight="12" x14ac:dyDescent="0.3"/>
  <cols>
    <col min="1" max="1" width="26.54296875" style="15" customWidth="1"/>
    <col min="2" max="2" width="8.26953125" style="15" customWidth="1"/>
    <col min="3" max="8" width="7.1796875" style="15" bestFit="1" customWidth="1"/>
    <col min="9" max="9" width="6.6328125" style="15" bestFit="1" customWidth="1"/>
    <col min="10" max="10" width="7.453125" style="15" bestFit="1" customWidth="1"/>
    <col min="11" max="11" width="6.6328125" style="15" bestFit="1" customWidth="1"/>
    <col min="12" max="12" width="7.453125" style="15" bestFit="1" customWidth="1"/>
    <col min="13" max="14" width="6.6328125" style="15" bestFit="1" customWidth="1"/>
    <col min="15" max="16384" width="10.90625" style="15"/>
  </cols>
  <sheetData>
    <row r="1" spans="1:14" s="15" customFormat="1" ht="34" customHeight="1" x14ac:dyDescent="0.3">
      <c r="A1" s="178" t="s">
        <v>0</v>
      </c>
    </row>
    <row r="3" spans="1:14" s="15" customFormat="1" x14ac:dyDescent="0.3">
      <c r="A3" s="179" t="s">
        <v>1</v>
      </c>
      <c r="B3" s="180" t="s">
        <v>2</v>
      </c>
      <c r="C3" s="181"/>
      <c r="D3" s="181"/>
      <c r="E3" s="181"/>
      <c r="F3" s="181"/>
      <c r="G3" s="182"/>
      <c r="H3" s="183"/>
      <c r="I3" s="181"/>
      <c r="J3" s="181"/>
      <c r="K3" s="181"/>
      <c r="L3" s="181"/>
      <c r="M3" s="181"/>
      <c r="N3" s="181"/>
    </row>
    <row r="4" spans="1:14" s="15" customFormat="1" ht="46" customHeight="1" x14ac:dyDescent="0.3">
      <c r="A4" s="184" t="s">
        <v>4</v>
      </c>
      <c r="B4" s="185" t="s">
        <v>5</v>
      </c>
      <c r="C4" s="186" t="s">
        <v>6</v>
      </c>
      <c r="D4" s="186" t="s">
        <v>7</v>
      </c>
      <c r="E4" s="186" t="s">
        <v>8</v>
      </c>
      <c r="F4" s="187" t="s">
        <v>9</v>
      </c>
      <c r="G4" s="188" t="s">
        <v>10</v>
      </c>
      <c r="H4" s="184" t="s">
        <v>11</v>
      </c>
      <c r="I4" s="186" t="s">
        <v>12</v>
      </c>
      <c r="J4" s="186" t="s">
        <v>13</v>
      </c>
      <c r="K4" s="186" t="s">
        <v>14</v>
      </c>
      <c r="L4" s="186" t="s">
        <v>15</v>
      </c>
      <c r="M4" s="186" t="s">
        <v>16</v>
      </c>
      <c r="N4" s="186" t="s">
        <v>17</v>
      </c>
    </row>
    <row r="5" spans="1:14" s="15" customFormat="1" x14ac:dyDescent="0.3">
      <c r="A5" s="189" t="s">
        <v>18</v>
      </c>
      <c r="B5" s="190">
        <v>310702</v>
      </c>
      <c r="C5" s="191">
        <v>338232</v>
      </c>
      <c r="D5" s="191">
        <v>326776</v>
      </c>
      <c r="E5" s="191">
        <v>322052</v>
      </c>
      <c r="F5" s="191">
        <v>357822</v>
      </c>
      <c r="G5" s="192">
        <v>407331</v>
      </c>
      <c r="H5" s="193">
        <v>466265</v>
      </c>
      <c r="I5" s="194">
        <f>D5/B5-1</f>
        <v>5.1734459385520459E-2</v>
      </c>
      <c r="J5" s="194">
        <f>E5/B5-1</f>
        <v>3.6530180043900629E-2</v>
      </c>
      <c r="K5" s="194">
        <f>E5/C5-1</f>
        <v>-4.7836987629792604E-2</v>
      </c>
      <c r="L5" s="194">
        <f>F5/E5-1</f>
        <v>0.11106901990982831</v>
      </c>
      <c r="M5" s="194">
        <f t="shared" ref="M5:M25" si="0">G5/F5-1</f>
        <v>0.13836209064842286</v>
      </c>
      <c r="N5" s="194">
        <f t="shared" ref="N5:N25" si="1">H5/G5-1</f>
        <v>0.14468331651654309</v>
      </c>
    </row>
    <row r="6" spans="1:14" s="15" customFormat="1" x14ac:dyDescent="0.3">
      <c r="A6" s="195" t="s">
        <v>19</v>
      </c>
      <c r="B6" s="196">
        <v>309987</v>
      </c>
      <c r="C6" s="197">
        <v>336047</v>
      </c>
      <c r="D6" s="197">
        <v>326187</v>
      </c>
      <c r="E6" s="197">
        <v>321295</v>
      </c>
      <c r="F6" s="197">
        <v>355649</v>
      </c>
      <c r="G6" s="198">
        <v>404453</v>
      </c>
      <c r="H6" s="199">
        <v>463320</v>
      </c>
      <c r="I6" s="200">
        <f>D6/B6-1</f>
        <v>5.2260256075254752E-2</v>
      </c>
      <c r="J6" s="200">
        <f>E6/B6-1</f>
        <v>3.6478949117221049E-2</v>
      </c>
      <c r="K6" s="200">
        <f>E6/C6-1</f>
        <v>-4.3898621323802955E-2</v>
      </c>
      <c r="L6" s="200">
        <f>F6/E6-1</f>
        <v>0.10692354378375013</v>
      </c>
      <c r="M6" s="200">
        <f t="shared" si="0"/>
        <v>0.13722518550593432</v>
      </c>
      <c r="N6" s="200">
        <f t="shared" si="1"/>
        <v>0.14554719584228581</v>
      </c>
    </row>
    <row r="7" spans="1:14" s="15" customFormat="1" x14ac:dyDescent="0.3">
      <c r="A7" s="201" t="s">
        <v>20</v>
      </c>
      <c r="B7" s="202">
        <v>129748</v>
      </c>
      <c r="C7" s="203">
        <v>123813</v>
      </c>
      <c r="D7" s="203">
        <v>128584</v>
      </c>
      <c r="E7" s="203">
        <v>124651</v>
      </c>
      <c r="F7" s="191">
        <v>120217</v>
      </c>
      <c r="G7" s="204">
        <v>115792</v>
      </c>
      <c r="H7" s="205">
        <v>111780</v>
      </c>
      <c r="I7" s="194">
        <f>D7/B7-1</f>
        <v>-8.9712365508524128E-3</v>
      </c>
      <c r="J7" s="194">
        <f>E7/B7-1</f>
        <v>-3.9283842525510981E-2</v>
      </c>
      <c r="K7" s="194">
        <f>E7/C7-1</f>
        <v>6.7682715062231669E-3</v>
      </c>
      <c r="L7" s="194">
        <f>F7/E7-1</f>
        <v>-3.5571315111792123E-2</v>
      </c>
      <c r="M7" s="194">
        <f t="shared" si="0"/>
        <v>-3.6808438074481975E-2</v>
      </c>
      <c r="N7" s="194">
        <f t="shared" si="1"/>
        <v>-3.4648334945419412E-2</v>
      </c>
    </row>
    <row r="8" spans="1:14" s="15" customFormat="1" x14ac:dyDescent="0.3">
      <c r="A8" s="206" t="s">
        <v>21</v>
      </c>
      <c r="B8" s="207">
        <v>109803</v>
      </c>
      <c r="C8" s="208">
        <v>134308</v>
      </c>
      <c r="D8" s="208">
        <v>127371</v>
      </c>
      <c r="E8" s="208">
        <v>132376</v>
      </c>
      <c r="F8" s="197">
        <v>162282</v>
      </c>
      <c r="G8" s="209">
        <v>201230</v>
      </c>
      <c r="H8" s="210">
        <v>245526</v>
      </c>
      <c r="I8" s="200">
        <f>D8/B8-1</f>
        <v>0.15999562853473948</v>
      </c>
      <c r="J8" s="200">
        <f>E8/B8-1</f>
        <v>0.20557726109486985</v>
      </c>
      <c r="K8" s="200">
        <f>E8/C8-1</f>
        <v>-1.4384846770110538E-2</v>
      </c>
      <c r="L8" s="200">
        <f>F8/E8-1</f>
        <v>0.22591708466791571</v>
      </c>
      <c r="M8" s="200">
        <f t="shared" si="0"/>
        <v>0.24000197187611683</v>
      </c>
      <c r="N8" s="200">
        <f t="shared" si="1"/>
        <v>0.22012622372409685</v>
      </c>
    </row>
    <row r="9" spans="1:14" s="15" customFormat="1" x14ac:dyDescent="0.3">
      <c r="A9" s="201" t="s">
        <v>22</v>
      </c>
      <c r="B9" s="202">
        <v>8305</v>
      </c>
      <c r="C9" s="203">
        <v>10797</v>
      </c>
      <c r="D9" s="203">
        <v>5999</v>
      </c>
      <c r="E9" s="203">
        <v>5833</v>
      </c>
      <c r="F9" s="191">
        <v>6469</v>
      </c>
      <c r="G9" s="204">
        <v>7452</v>
      </c>
      <c r="H9" s="205">
        <v>8582</v>
      </c>
      <c r="I9" s="194">
        <f>D9/B9-1</f>
        <v>-0.27766405779650816</v>
      </c>
      <c r="J9" s="194">
        <f>E9/B9-1</f>
        <v>-0.2976520168573149</v>
      </c>
      <c r="K9" s="194">
        <f>E9/C9-1</f>
        <v>-0.45975734000185242</v>
      </c>
      <c r="L9" s="194">
        <f>F9/E9-1</f>
        <v>0.10903480198868509</v>
      </c>
      <c r="M9" s="194">
        <f t="shared" si="0"/>
        <v>0.15195547998144998</v>
      </c>
      <c r="N9" s="194">
        <f t="shared" si="1"/>
        <v>0.15163714439076759</v>
      </c>
    </row>
    <row r="10" spans="1:14" s="15" customFormat="1" x14ac:dyDescent="0.3">
      <c r="A10" s="206" t="s">
        <v>23</v>
      </c>
      <c r="B10" s="207">
        <v>30080</v>
      </c>
      <c r="C10" s="208">
        <v>34258</v>
      </c>
      <c r="D10" s="208">
        <v>32511</v>
      </c>
      <c r="E10" s="208">
        <v>27202</v>
      </c>
      <c r="F10" s="197">
        <v>29489</v>
      </c>
      <c r="G10" s="209">
        <v>34978</v>
      </c>
      <c r="H10" s="210">
        <v>41837</v>
      </c>
      <c r="I10" s="200">
        <f>D10/B10-1</f>
        <v>8.0817819148936154E-2</v>
      </c>
      <c r="J10" s="200">
        <f>E10/B10-1</f>
        <v>-9.5678191489361741E-2</v>
      </c>
      <c r="K10" s="200">
        <f>E10/C10-1</f>
        <v>-0.20596648957907637</v>
      </c>
      <c r="L10" s="200">
        <f>F10/E10-1</f>
        <v>8.4074700389677126E-2</v>
      </c>
      <c r="M10" s="200">
        <f t="shared" si="0"/>
        <v>0.18613720370307574</v>
      </c>
      <c r="N10" s="200">
        <f t="shared" si="1"/>
        <v>0.19609468808965635</v>
      </c>
    </row>
    <row r="11" spans="1:14" s="15" customFormat="1" x14ac:dyDescent="0.3">
      <c r="A11" s="201" t="s">
        <v>24</v>
      </c>
      <c r="B11" s="202">
        <v>3405</v>
      </c>
      <c r="C11" s="203">
        <v>3346</v>
      </c>
      <c r="D11" s="203">
        <v>2302</v>
      </c>
      <c r="E11" s="203">
        <v>2858</v>
      </c>
      <c r="F11" s="191">
        <v>2552</v>
      </c>
      <c r="G11" s="204">
        <v>2257</v>
      </c>
      <c r="H11" s="205">
        <v>1981</v>
      </c>
      <c r="I11" s="194">
        <f>D11/B11-1</f>
        <v>-0.32393538913362707</v>
      </c>
      <c r="J11" s="194">
        <f>E11/B11-1</f>
        <v>-0.16064610866372986</v>
      </c>
      <c r="K11" s="194">
        <f>E11/C11-1</f>
        <v>-0.14584578601315001</v>
      </c>
      <c r="L11" s="194">
        <f>F11/E11-1</f>
        <v>-0.1070678796361092</v>
      </c>
      <c r="M11" s="194">
        <f t="shared" si="0"/>
        <v>-0.11559561128526641</v>
      </c>
      <c r="N11" s="194">
        <f t="shared" si="1"/>
        <v>-0.12228622064687633</v>
      </c>
    </row>
    <row r="12" spans="1:14" s="15" customFormat="1" x14ac:dyDescent="0.3">
      <c r="A12" s="206" t="s">
        <v>25</v>
      </c>
      <c r="B12" s="207">
        <v>6140</v>
      </c>
      <c r="C12" s="208">
        <v>6234</v>
      </c>
      <c r="D12" s="208">
        <v>8400</v>
      </c>
      <c r="E12" s="208">
        <v>6413</v>
      </c>
      <c r="F12" s="197">
        <v>6610</v>
      </c>
      <c r="G12" s="209">
        <v>7111</v>
      </c>
      <c r="H12" s="210">
        <v>7844</v>
      </c>
      <c r="I12" s="200">
        <f>D12/B12-1</f>
        <v>0.36807817589576541</v>
      </c>
      <c r="J12" s="200">
        <f>E12/B12-1</f>
        <v>4.4462540716612375E-2</v>
      </c>
      <c r="K12" s="200">
        <f>E12/C12-1</f>
        <v>2.8713506576836689E-2</v>
      </c>
      <c r="L12" s="200">
        <f>F12/E12-1</f>
        <v>3.0718852331202307E-2</v>
      </c>
      <c r="M12" s="200">
        <f t="shared" si="0"/>
        <v>7.5794251134644552E-2</v>
      </c>
      <c r="N12" s="200">
        <f t="shared" si="1"/>
        <v>0.10307973562086903</v>
      </c>
    </row>
    <row r="13" spans="1:14" s="15" customFormat="1" x14ac:dyDescent="0.3">
      <c r="A13" s="201" t="s">
        <v>26</v>
      </c>
      <c r="B13" s="202">
        <v>14624</v>
      </c>
      <c r="C13" s="203">
        <v>16268</v>
      </c>
      <c r="D13" s="203">
        <v>14669</v>
      </c>
      <c r="E13" s="203">
        <v>14534</v>
      </c>
      <c r="F13" s="191">
        <v>17895</v>
      </c>
      <c r="G13" s="204">
        <v>22369</v>
      </c>
      <c r="H13" s="205">
        <v>28409</v>
      </c>
      <c r="I13" s="194">
        <f>D13/B13-1</f>
        <v>3.0771334792123461E-3</v>
      </c>
      <c r="J13" s="194">
        <f>E13/B13-1</f>
        <v>-6.1542669584244702E-3</v>
      </c>
      <c r="K13" s="194">
        <f>E13/C13-1</f>
        <v>-0.10658962380132775</v>
      </c>
      <c r="L13" s="194">
        <f>F13/E13-1</f>
        <v>0.23125086005229112</v>
      </c>
      <c r="M13" s="194">
        <f t="shared" si="0"/>
        <v>0.25001397038278839</v>
      </c>
      <c r="N13" s="194">
        <f t="shared" si="1"/>
        <v>0.27001654074835701</v>
      </c>
    </row>
    <row r="14" spans="1:14" s="15" customFormat="1" x14ac:dyDescent="0.3">
      <c r="A14" s="211" t="s">
        <v>27</v>
      </c>
      <c r="B14" s="207">
        <v>6538</v>
      </c>
      <c r="C14" s="208">
        <v>7023</v>
      </c>
      <c r="D14" s="208">
        <v>7044</v>
      </c>
      <c r="E14" s="208">
        <v>7349</v>
      </c>
      <c r="F14" s="197">
        <v>10134</v>
      </c>
      <c r="G14" s="209">
        <v>13264</v>
      </c>
      <c r="H14" s="210">
        <v>17362</v>
      </c>
      <c r="I14" s="200">
        <f>D14/B14-1</f>
        <v>7.739369837870913E-2</v>
      </c>
      <c r="J14" s="200">
        <f>E14/B14-1</f>
        <v>0.12404405016824716</v>
      </c>
      <c r="K14" s="200">
        <f>E14/C14-1</f>
        <v>4.6418909298020727E-2</v>
      </c>
      <c r="L14" s="200">
        <f>F14/E14-1</f>
        <v>0.37896312423458967</v>
      </c>
      <c r="M14" s="200">
        <f t="shared" si="0"/>
        <v>0.30886125912768891</v>
      </c>
      <c r="N14" s="200">
        <f t="shared" si="1"/>
        <v>0.30895657418576605</v>
      </c>
    </row>
    <row r="15" spans="1:14" s="15" customFormat="1" x14ac:dyDescent="0.3">
      <c r="A15" s="201" t="s">
        <v>28</v>
      </c>
      <c r="B15" s="202">
        <v>715</v>
      </c>
      <c r="C15" s="203">
        <v>2185</v>
      </c>
      <c r="D15" s="203">
        <v>590</v>
      </c>
      <c r="E15" s="203">
        <v>757</v>
      </c>
      <c r="F15" s="191">
        <v>2173</v>
      </c>
      <c r="G15" s="204">
        <v>2878</v>
      </c>
      <c r="H15" s="205">
        <v>2945</v>
      </c>
      <c r="I15" s="194">
        <f>D15/B15-1</f>
        <v>-0.17482517482517479</v>
      </c>
      <c r="J15" s="194">
        <f>E15/B15-1</f>
        <v>5.8741258741258795E-2</v>
      </c>
      <c r="K15" s="194">
        <f>E15/C15-1</f>
        <v>-0.65354691075514881</v>
      </c>
      <c r="L15" s="194">
        <f>F15/E15-1</f>
        <v>1.870541611624835</v>
      </c>
      <c r="M15" s="194">
        <f t="shared" si="0"/>
        <v>0.32443626323055685</v>
      </c>
      <c r="N15" s="194">
        <f t="shared" si="1"/>
        <v>2.3280055594162574E-2</v>
      </c>
    </row>
    <row r="16" spans="1:14" s="15" customFormat="1" x14ac:dyDescent="0.3">
      <c r="A16" s="195" t="s">
        <v>29</v>
      </c>
      <c r="B16" s="196">
        <v>108619</v>
      </c>
      <c r="C16" s="197">
        <v>105330</v>
      </c>
      <c r="D16" s="197">
        <v>102831</v>
      </c>
      <c r="E16" s="197">
        <v>101212</v>
      </c>
      <c r="F16" s="197">
        <v>106946</v>
      </c>
      <c r="G16" s="198">
        <v>119629</v>
      </c>
      <c r="H16" s="199">
        <v>131739</v>
      </c>
      <c r="I16" s="212">
        <f>D16/B16-1</f>
        <v>-5.3287178118008871E-2</v>
      </c>
      <c r="J16" s="212">
        <f>E16/B16-1</f>
        <v>-6.8192489343484985E-2</v>
      </c>
      <c r="K16" s="212">
        <f>E16/C16-1</f>
        <v>-3.9096173929554778E-2</v>
      </c>
      <c r="L16" s="212">
        <f>F16/E16-1</f>
        <v>5.6653361261510549E-2</v>
      </c>
      <c r="M16" s="212">
        <f t="shared" si="0"/>
        <v>0.11859256073158408</v>
      </c>
      <c r="N16" s="212">
        <f t="shared" si="1"/>
        <v>0.10122963495473503</v>
      </c>
    </row>
    <row r="17" spans="1:14" s="15" customFormat="1" x14ac:dyDescent="0.3">
      <c r="A17" s="189" t="s">
        <v>30</v>
      </c>
      <c r="B17" s="190">
        <v>202083</v>
      </c>
      <c r="C17" s="191">
        <v>232902</v>
      </c>
      <c r="D17" s="191">
        <v>223945</v>
      </c>
      <c r="E17" s="191">
        <v>220839</v>
      </c>
      <c r="F17" s="191">
        <v>250877</v>
      </c>
      <c r="G17" s="192">
        <v>287702</v>
      </c>
      <c r="H17" s="193">
        <v>334527</v>
      </c>
      <c r="I17" s="194">
        <f>D17/B17-1</f>
        <v>0.10818327123013805</v>
      </c>
      <c r="J17" s="194">
        <f>E17/B17-1</f>
        <v>9.2813348970472553E-2</v>
      </c>
      <c r="K17" s="194">
        <f>E17/C17-1</f>
        <v>-5.179431692299763E-2</v>
      </c>
      <c r="L17" s="194">
        <f>F17/E17-1</f>
        <v>0.13601764181145537</v>
      </c>
      <c r="M17" s="194">
        <f t="shared" si="0"/>
        <v>0.14678507794656337</v>
      </c>
      <c r="N17" s="194">
        <f t="shared" si="1"/>
        <v>0.16275521199018428</v>
      </c>
    </row>
    <row r="18" spans="1:14" s="15" customFormat="1" x14ac:dyDescent="0.3">
      <c r="A18" s="213" t="s">
        <v>31</v>
      </c>
      <c r="B18" s="207">
        <v>99934</v>
      </c>
      <c r="C18" s="208">
        <v>105507</v>
      </c>
      <c r="D18" s="208">
        <v>102851</v>
      </c>
      <c r="E18" s="208">
        <v>103921</v>
      </c>
      <c r="F18" s="197">
        <v>111165</v>
      </c>
      <c r="G18" s="209">
        <v>120150</v>
      </c>
      <c r="H18" s="210">
        <v>130679</v>
      </c>
      <c r="I18" s="212">
        <f>D18/B18-1</f>
        <v>2.9189264914843749E-2</v>
      </c>
      <c r="J18" s="212">
        <f>E18/B18-1</f>
        <v>3.9896331578842092E-2</v>
      </c>
      <c r="K18" s="212">
        <f>E18/C18-1</f>
        <v>-1.5032177959756199E-2</v>
      </c>
      <c r="L18" s="212">
        <f>F18/E18-1</f>
        <v>6.9706796508886448E-2</v>
      </c>
      <c r="M18" s="212">
        <f t="shared" si="0"/>
        <v>8.0825799487248773E-2</v>
      </c>
      <c r="N18" s="212">
        <f t="shared" si="1"/>
        <v>8.7632126508530916E-2</v>
      </c>
    </row>
    <row r="19" spans="1:14" s="15" customFormat="1" x14ac:dyDescent="0.3">
      <c r="A19" s="214" t="s">
        <v>32</v>
      </c>
      <c r="B19" s="215">
        <v>102173</v>
      </c>
      <c r="C19" s="216">
        <v>127724</v>
      </c>
      <c r="D19" s="216">
        <v>120773</v>
      </c>
      <c r="E19" s="216">
        <v>116930</v>
      </c>
      <c r="F19" s="216">
        <v>139711</v>
      </c>
      <c r="G19" s="217">
        <v>167551</v>
      </c>
      <c r="H19" s="218">
        <v>203847</v>
      </c>
      <c r="I19" s="219">
        <f>D19/B19-1</f>
        <v>0.18204417996926781</v>
      </c>
      <c r="J19" s="219">
        <f>E19/B19-1</f>
        <v>0.14443150343045619</v>
      </c>
      <c r="K19" s="219">
        <f>E19/C19-1</f>
        <v>-8.4510350443143034E-2</v>
      </c>
      <c r="L19" s="219">
        <f>F19/E19-1</f>
        <v>0.19482596425211662</v>
      </c>
      <c r="M19" s="219">
        <f t="shared" si="0"/>
        <v>0.19926848995426272</v>
      </c>
      <c r="N19" s="219">
        <f t="shared" si="1"/>
        <v>0.2166265793698634</v>
      </c>
    </row>
    <row r="20" spans="1:14" s="15" customFormat="1" x14ac:dyDescent="0.3">
      <c r="A20" s="213" t="s">
        <v>33</v>
      </c>
      <c r="B20" s="207">
        <v>73955</v>
      </c>
      <c r="C20" s="208">
        <v>77129</v>
      </c>
      <c r="D20" s="208">
        <v>78028</v>
      </c>
      <c r="E20" s="208">
        <v>76999</v>
      </c>
      <c r="F20" s="197">
        <v>82358</v>
      </c>
      <c r="G20" s="209">
        <v>99604</v>
      </c>
      <c r="H20" s="210">
        <v>119524</v>
      </c>
      <c r="I20" s="212">
        <v>0</v>
      </c>
      <c r="J20" s="212">
        <f>E20/B20-1</f>
        <v>4.11601649651816E-2</v>
      </c>
      <c r="K20" s="212">
        <f>E20/C20-1</f>
        <v>-1.6854879487612218E-3</v>
      </c>
      <c r="L20" s="212">
        <f>F20/E20-1</f>
        <v>6.9598306471512661E-2</v>
      </c>
      <c r="M20" s="212">
        <f t="shared" si="0"/>
        <v>0.20940285096772637</v>
      </c>
      <c r="N20" s="212">
        <f t="shared" si="1"/>
        <v>0.19999196819404852</v>
      </c>
    </row>
    <row r="21" spans="1:14" s="15" customFormat="1" x14ac:dyDescent="0.3">
      <c r="A21" s="214" t="s">
        <v>34</v>
      </c>
      <c r="B21" s="215">
        <v>28218</v>
      </c>
      <c r="C21" s="216">
        <v>50595</v>
      </c>
      <c r="D21" s="216">
        <v>42745</v>
      </c>
      <c r="E21" s="216">
        <v>39931</v>
      </c>
      <c r="F21" s="216">
        <v>57354</v>
      </c>
      <c r="G21" s="217">
        <v>67948</v>
      </c>
      <c r="H21" s="218">
        <v>84323</v>
      </c>
      <c r="I21" s="219">
        <v>0</v>
      </c>
      <c r="J21" s="219">
        <f>E21/B21-1</f>
        <v>0.415089659082855</v>
      </c>
      <c r="K21" s="219">
        <f>E21/C21-1</f>
        <v>-0.21077181539677836</v>
      </c>
      <c r="L21" s="219">
        <f>F21/E21-1</f>
        <v>0.43632766522250876</v>
      </c>
      <c r="M21" s="219">
        <f t="shared" si="0"/>
        <v>0.18471248735920764</v>
      </c>
      <c r="N21" s="219">
        <f t="shared" si="1"/>
        <v>0.24099311238005527</v>
      </c>
    </row>
    <row r="22" spans="1:14" s="15" customFormat="1" x14ac:dyDescent="0.3">
      <c r="A22" s="213" t="s">
        <v>35</v>
      </c>
      <c r="B22" s="207">
        <v>18579</v>
      </c>
      <c r="C22" s="208">
        <v>19052</v>
      </c>
      <c r="D22" s="208">
        <v>19941</v>
      </c>
      <c r="E22" s="208">
        <v>20523</v>
      </c>
      <c r="F22" s="197">
        <v>22251</v>
      </c>
      <c r="G22" s="209">
        <v>21258</v>
      </c>
      <c r="H22" s="210">
        <v>19623</v>
      </c>
      <c r="I22" s="212">
        <v>0</v>
      </c>
      <c r="J22" s="212">
        <f>E22/B22-1</f>
        <v>0.10463426449216851</v>
      </c>
      <c r="K22" s="212">
        <f>E22/C22-1</f>
        <v>7.7209741759395323E-2</v>
      </c>
      <c r="L22" s="212">
        <f>F22/E22-1</f>
        <v>8.4198216634994827E-2</v>
      </c>
      <c r="M22" s="212">
        <f t="shared" si="0"/>
        <v>-4.4627207765943089E-2</v>
      </c>
      <c r="N22" s="212">
        <f t="shared" si="1"/>
        <v>-7.6912221281399962E-2</v>
      </c>
    </row>
    <row r="23" spans="1:14" s="15" customFormat="1" x14ac:dyDescent="0.3">
      <c r="A23" s="220" t="s">
        <v>36</v>
      </c>
      <c r="B23" s="202">
        <v>5084</v>
      </c>
      <c r="C23" s="203">
        <v>11161</v>
      </c>
      <c r="D23" s="203">
        <v>8256</v>
      </c>
      <c r="E23" s="203">
        <v>6674</v>
      </c>
      <c r="F23" s="191">
        <v>12751</v>
      </c>
      <c r="G23" s="204">
        <v>16868</v>
      </c>
      <c r="H23" s="205">
        <v>23089</v>
      </c>
      <c r="I23" s="221">
        <v>0</v>
      </c>
      <c r="J23" s="221">
        <f>E23/B23-1</f>
        <v>0.31274586939417781</v>
      </c>
      <c r="K23" s="221">
        <f>E23/C23-1</f>
        <v>-0.40202490816235104</v>
      </c>
      <c r="L23" s="221">
        <f>F23/E23-1</f>
        <v>0.91054839676356014</v>
      </c>
      <c r="M23" s="221">
        <f t="shared" si="0"/>
        <v>0.32287663712649994</v>
      </c>
      <c r="N23" s="221">
        <f t="shared" si="1"/>
        <v>0.36880483756224813</v>
      </c>
    </row>
    <row r="24" spans="1:14" s="15" customFormat="1" x14ac:dyDescent="0.3">
      <c r="A24" s="214" t="s">
        <v>37</v>
      </c>
      <c r="B24" s="215">
        <v>4556</v>
      </c>
      <c r="C24" s="216">
        <v>20382</v>
      </c>
      <c r="D24" s="216">
        <v>14549</v>
      </c>
      <c r="E24" s="216">
        <v>12733</v>
      </c>
      <c r="F24" s="216">
        <v>22352</v>
      </c>
      <c r="G24" s="217">
        <v>29821</v>
      </c>
      <c r="H24" s="218">
        <v>41611</v>
      </c>
      <c r="I24" s="219">
        <v>0</v>
      </c>
      <c r="J24" s="219">
        <f>E24/B24-1</f>
        <v>1.794776119402985</v>
      </c>
      <c r="K24" s="219">
        <f>E24/C24-1</f>
        <v>-0.3752821116671573</v>
      </c>
      <c r="L24" s="219">
        <f>F24/E24-1</f>
        <v>0.75543862404774997</v>
      </c>
      <c r="M24" s="219">
        <f t="shared" si="0"/>
        <v>0.33415354330708658</v>
      </c>
      <c r="N24" s="219">
        <f t="shared" si="1"/>
        <v>0.39535897521880559</v>
      </c>
    </row>
    <row r="25" spans="1:14" s="15" customFormat="1" x14ac:dyDescent="0.3">
      <c r="A25" s="220" t="s">
        <v>38</v>
      </c>
      <c r="B25" s="202">
        <v>46278</v>
      </c>
      <c r="C25" s="203">
        <v>52422</v>
      </c>
      <c r="D25" s="203">
        <v>66216</v>
      </c>
      <c r="E25" s="203">
        <v>66216</v>
      </c>
      <c r="F25" s="191">
        <v>87858</v>
      </c>
      <c r="G25" s="204">
        <v>80533</v>
      </c>
      <c r="H25" s="205">
        <v>79002</v>
      </c>
      <c r="I25" s="221">
        <v>0</v>
      </c>
      <c r="J25" s="221">
        <f>E25/B25-1</f>
        <v>0.4308310644366653</v>
      </c>
      <c r="K25" s="221">
        <f>E25/C25-1</f>
        <v>0.26313379878676901</v>
      </c>
      <c r="L25" s="221">
        <f>F25/E25-1</f>
        <v>0.32683943457774567</v>
      </c>
      <c r="M25" s="221">
        <f t="shared" si="0"/>
        <v>-8.3373170343053582E-2</v>
      </c>
      <c r="N25" s="221">
        <f t="shared" si="1"/>
        <v>-1.9010840276656782E-2</v>
      </c>
    </row>
    <row r="26" spans="1:14" s="15" customFormat="1" x14ac:dyDescent="0.3">
      <c r="A26" s="213"/>
      <c r="B26" s="222"/>
      <c r="C26" s="223"/>
      <c r="D26" s="223"/>
      <c r="E26" s="223"/>
      <c r="F26" s="223"/>
      <c r="G26" s="224"/>
      <c r="H26" s="225"/>
      <c r="I26" s="223"/>
      <c r="J26" s="223"/>
      <c r="K26" s="223"/>
      <c r="L26" s="223"/>
      <c r="M26" s="223"/>
      <c r="N26" s="223"/>
    </row>
    <row r="27" spans="1:14" s="15" customFormat="1" x14ac:dyDescent="0.3">
      <c r="A27" s="220" t="s">
        <v>30</v>
      </c>
      <c r="B27" s="226">
        <f t="shared" ref="B27:H27" si="2">B17/B5</f>
        <v>0.65040778623890416</v>
      </c>
      <c r="C27" s="227">
        <f t="shared" si="2"/>
        <v>0.68858653232101041</v>
      </c>
      <c r="D27" s="227">
        <f t="shared" si="2"/>
        <v>0.68531654711484324</v>
      </c>
      <c r="E27" s="227">
        <f t="shared" si="2"/>
        <v>0.68572466558195566</v>
      </c>
      <c r="F27" s="227">
        <f t="shared" si="2"/>
        <v>0.7011223457473269</v>
      </c>
      <c r="G27" s="228">
        <f t="shared" si="2"/>
        <v>0.70631010161269336</v>
      </c>
      <c r="H27" s="229">
        <f t="shared" si="2"/>
        <v>0.7174611004471706</v>
      </c>
      <c r="I27" s="230">
        <f>(D27-B27)*100</f>
        <v>3.4908760875939082</v>
      </c>
      <c r="J27" s="230">
        <f>(E27-B27)*100</f>
        <v>3.5316879343051499</v>
      </c>
      <c r="K27" s="230">
        <f>(E27-C27)*100</f>
        <v>-0.28618667390547525</v>
      </c>
      <c r="L27" s="230">
        <f>(F27-E27)*100</f>
        <v>1.5397680165371241</v>
      </c>
      <c r="M27" s="230">
        <f t="shared" ref="M27:N33" si="3">(G27-F27)*100</f>
        <v>0.51877558653664613</v>
      </c>
      <c r="N27" s="230">
        <f t="shared" si="3"/>
        <v>1.1150998834477233</v>
      </c>
    </row>
    <row r="28" spans="1:14" s="15" customFormat="1" x14ac:dyDescent="0.3">
      <c r="A28" s="213" t="s">
        <v>39</v>
      </c>
      <c r="B28" s="231">
        <f t="shared" ref="B28:H28" si="4">B16/B5</f>
        <v>0.34959221376109584</v>
      </c>
      <c r="C28" s="232">
        <f t="shared" si="4"/>
        <v>0.31141346767898959</v>
      </c>
      <c r="D28" s="232">
        <f t="shared" si="4"/>
        <v>0.31468345288515681</v>
      </c>
      <c r="E28" s="232">
        <f t="shared" si="4"/>
        <v>0.31427222932942506</v>
      </c>
      <c r="F28" s="232">
        <f t="shared" si="4"/>
        <v>0.2988804489382989</v>
      </c>
      <c r="G28" s="233">
        <f t="shared" si="4"/>
        <v>0.29368989838730664</v>
      </c>
      <c r="H28" s="234">
        <f t="shared" si="4"/>
        <v>0.28254104425594889</v>
      </c>
      <c r="I28" s="235">
        <f>(D28-B28)*100</f>
        <v>-3.4908760875939029</v>
      </c>
      <c r="J28" s="235">
        <f>(E28-B28)*100</f>
        <v>-3.5319984431670779</v>
      </c>
      <c r="K28" s="235">
        <f>(E28-C28)*100</f>
        <v>0.28587616504354707</v>
      </c>
      <c r="L28" s="235">
        <f>(F28-E28)*100</f>
        <v>-1.5391780391126153</v>
      </c>
      <c r="M28" s="235">
        <f t="shared" si="3"/>
        <v>-0.51905505509922678</v>
      </c>
      <c r="N28" s="235">
        <f t="shared" si="3"/>
        <v>-1.1148854131357744</v>
      </c>
    </row>
    <row r="29" spans="1:14" s="15" customFormat="1" x14ac:dyDescent="0.3">
      <c r="A29" s="220" t="s">
        <v>40</v>
      </c>
      <c r="B29" s="226">
        <f t="shared" ref="B29:H29" si="5">B18/B5</f>
        <v>0.3216393843618644</v>
      </c>
      <c r="C29" s="227">
        <f t="shared" si="5"/>
        <v>0.31193677712339457</v>
      </c>
      <c r="D29" s="227">
        <f t="shared" si="5"/>
        <v>0.31474465689034692</v>
      </c>
      <c r="E29" s="227">
        <f t="shared" si="5"/>
        <v>0.32268391439891697</v>
      </c>
      <c r="F29" s="227">
        <f t="shared" si="5"/>
        <v>0.31067122759360799</v>
      </c>
      <c r="G29" s="228">
        <f t="shared" si="5"/>
        <v>0.29496895645065069</v>
      </c>
      <c r="H29" s="229">
        <f t="shared" si="5"/>
        <v>0.28026765894930994</v>
      </c>
      <c r="I29" s="236">
        <f>(D29-B29)*100</f>
        <v>-0.68947274715174811</v>
      </c>
      <c r="J29" s="236">
        <f>(E29-B29)*100</f>
        <v>0.10445300370525712</v>
      </c>
      <c r="K29" s="236">
        <f>(E29-C29)*100</f>
        <v>1.07471372755224</v>
      </c>
      <c r="L29" s="236">
        <f>(F29-E29)*100</f>
        <v>-1.2012686805308981</v>
      </c>
      <c r="M29" s="236">
        <f t="shared" si="3"/>
        <v>-1.5702271142957303</v>
      </c>
      <c r="N29" s="236">
        <f t="shared" si="3"/>
        <v>-1.4701297501340749</v>
      </c>
    </row>
    <row r="30" spans="1:14" s="15" customFormat="1" x14ac:dyDescent="0.3">
      <c r="A30" s="213" t="s">
        <v>41</v>
      </c>
      <c r="B30" s="231">
        <f t="shared" ref="B30:H30" si="6">(B16+B18)/B5</f>
        <v>0.67123159812296029</v>
      </c>
      <c r="C30" s="232">
        <f t="shared" si="6"/>
        <v>0.62335024480238421</v>
      </c>
      <c r="D30" s="232">
        <f t="shared" si="6"/>
        <v>0.62942810977550367</v>
      </c>
      <c r="E30" s="232">
        <f t="shared" si="6"/>
        <v>0.63695614372834197</v>
      </c>
      <c r="F30" s="232">
        <f t="shared" si="6"/>
        <v>0.60955167653190689</v>
      </c>
      <c r="G30" s="233">
        <f t="shared" si="6"/>
        <v>0.58865885483795732</v>
      </c>
      <c r="H30" s="234">
        <f t="shared" si="6"/>
        <v>0.56280870320525878</v>
      </c>
      <c r="I30" s="235">
        <f>(D30-B30)*100</f>
        <v>-4.1803488347456614</v>
      </c>
      <c r="J30" s="235">
        <f>(E30-B30)*100</f>
        <v>-3.4275454394618321</v>
      </c>
      <c r="K30" s="235">
        <f>(E30-C30)*100</f>
        <v>1.360589892595776</v>
      </c>
      <c r="L30" s="235">
        <f>(F30-E30)*100</f>
        <v>-2.7404467196435078</v>
      </c>
      <c r="M30" s="235">
        <f t="shared" si="3"/>
        <v>-2.089282169394957</v>
      </c>
      <c r="N30" s="235">
        <f t="shared" si="3"/>
        <v>-2.5850151632698548</v>
      </c>
    </row>
    <row r="31" spans="1:14" s="15" customFormat="1" x14ac:dyDescent="0.3">
      <c r="A31" s="220" t="s">
        <v>42</v>
      </c>
      <c r="B31" s="226">
        <f t="shared" ref="B31:H31" si="7">B19/B5</f>
        <v>0.32884564631061275</v>
      </c>
      <c r="C31" s="227">
        <f t="shared" si="7"/>
        <v>0.37762246032309182</v>
      </c>
      <c r="D31" s="227">
        <f t="shared" si="7"/>
        <v>0.36958956594119519</v>
      </c>
      <c r="E31" s="227">
        <f t="shared" si="7"/>
        <v>0.36307801224646952</v>
      </c>
      <c r="F31" s="227">
        <f t="shared" si="7"/>
        <v>0.39044832346809305</v>
      </c>
      <c r="G31" s="228">
        <f t="shared" si="7"/>
        <v>0.41133869015616292</v>
      </c>
      <c r="H31" s="229">
        <f t="shared" si="7"/>
        <v>0.43719129679474117</v>
      </c>
      <c r="I31" s="230">
        <f>(D31-B31)*100</f>
        <v>4.0743919630582432</v>
      </c>
      <c r="J31" s="230">
        <f>(E31-B31)*100</f>
        <v>3.4232365935856768</v>
      </c>
      <c r="K31" s="230">
        <f>(E31-C31)*100</f>
        <v>-1.4544448076622307</v>
      </c>
      <c r="L31" s="230">
        <f>(F31-E31)*100</f>
        <v>2.7370311221623531</v>
      </c>
      <c r="M31" s="230">
        <f t="shared" si="3"/>
        <v>2.0890366688069872</v>
      </c>
      <c r="N31" s="230">
        <f t="shared" si="3"/>
        <v>2.5852606638578246</v>
      </c>
    </row>
    <row r="32" spans="1:14" s="15" customFormat="1" x14ac:dyDescent="0.3">
      <c r="A32" s="213" t="s">
        <v>43</v>
      </c>
      <c r="B32" s="231">
        <f t="shared" ref="B32:H32" si="8">B21/B5</f>
        <v>9.0820142773461385E-2</v>
      </c>
      <c r="C32" s="232">
        <f t="shared" si="8"/>
        <v>0.14958667423543603</v>
      </c>
      <c r="D32" s="232">
        <f t="shared" si="8"/>
        <v>0.13080826009254046</v>
      </c>
      <c r="E32" s="232">
        <f t="shared" si="8"/>
        <v>0.1239892936544409</v>
      </c>
      <c r="F32" s="232">
        <f t="shared" si="8"/>
        <v>0.1602863993829334</v>
      </c>
      <c r="G32" s="233">
        <f t="shared" si="8"/>
        <v>0.16681273951651115</v>
      </c>
      <c r="H32" s="234">
        <f t="shared" si="8"/>
        <v>0.18084780114312676</v>
      </c>
      <c r="I32" s="237">
        <v>0</v>
      </c>
      <c r="J32" s="237">
        <f>(E32-B32)*100</f>
        <v>3.3169150880979519</v>
      </c>
      <c r="K32" s="237">
        <f>(E32-C32)*100</f>
        <v>-2.559738058099513</v>
      </c>
      <c r="L32" s="237">
        <f>(F32-E32)*100</f>
        <v>3.62971057284925</v>
      </c>
      <c r="M32" s="237">
        <f t="shared" si="3"/>
        <v>0.65263401335777516</v>
      </c>
      <c r="N32" s="237">
        <f t="shared" si="3"/>
        <v>1.4035061626615608</v>
      </c>
    </row>
    <row r="33" spans="1:14" s="15" customFormat="1" x14ac:dyDescent="0.3">
      <c r="A33" s="220" t="s">
        <v>44</v>
      </c>
      <c r="B33" s="226">
        <f t="shared" ref="B33:H33" si="9">B24/B5</f>
        <v>1.4663568306608905E-2</v>
      </c>
      <c r="C33" s="227">
        <f t="shared" si="9"/>
        <v>6.0260412970978498E-2</v>
      </c>
      <c r="D33" s="227">
        <f t="shared" si="9"/>
        <v>4.4522853575537986E-2</v>
      </c>
      <c r="E33" s="227">
        <f t="shared" si="9"/>
        <v>3.9537093388645313E-2</v>
      </c>
      <c r="F33" s="227">
        <f t="shared" si="9"/>
        <v>6.2466813108193457E-2</v>
      </c>
      <c r="G33" s="228">
        <f t="shared" si="9"/>
        <v>7.3210730339699159E-2</v>
      </c>
      <c r="H33" s="229">
        <f t="shared" si="9"/>
        <v>8.9243241504294774E-2</v>
      </c>
      <c r="I33" s="230">
        <v>0</v>
      </c>
      <c r="J33" s="230">
        <f>(E33-B33)*100</f>
        <v>2.4873525082036405</v>
      </c>
      <c r="K33" s="230">
        <f>(E33-C33)*100</f>
        <v>-2.0723319582333186</v>
      </c>
      <c r="L33" s="230">
        <f>(F33-E33)*100</f>
        <v>2.2929719719548145</v>
      </c>
      <c r="M33" s="230">
        <f t="shared" si="3"/>
        <v>1.0743917231505702</v>
      </c>
      <c r="N33" s="230">
        <f t="shared" si="3"/>
        <v>1.6032511164595613</v>
      </c>
    </row>
  </sheetData>
  <mergeCells count="2">
    <mergeCell ref="B3:H3"/>
    <mergeCell ref="I3:N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87C48-71CF-422B-97F8-9DB58BBE5ABF}">
  <dimension ref="A1:H33"/>
  <sheetViews>
    <sheetView workbookViewId="0">
      <selection activeCell="L10" sqref="L10"/>
    </sheetView>
  </sheetViews>
  <sheetFormatPr baseColWidth="10" defaultRowHeight="14.5" x14ac:dyDescent="0.35"/>
  <cols>
    <col min="2" max="2" width="15.08984375" bestFit="1" customWidth="1"/>
  </cols>
  <sheetData>
    <row r="1" spans="1:8" x14ac:dyDescent="0.35">
      <c r="E1" t="s">
        <v>105</v>
      </c>
      <c r="G1" s="1" t="s">
        <v>48</v>
      </c>
      <c r="H1" s="2" t="s">
        <v>45</v>
      </c>
    </row>
    <row r="2" spans="1:8" x14ac:dyDescent="0.35">
      <c r="B2" s="3" t="s">
        <v>88</v>
      </c>
    </row>
    <row r="3" spans="1:8" x14ac:dyDescent="0.35">
      <c r="C3">
        <v>2024</v>
      </c>
      <c r="D3">
        <v>2025</v>
      </c>
      <c r="E3">
        <v>2026</v>
      </c>
      <c r="G3">
        <v>2027</v>
      </c>
      <c r="H3">
        <v>2028</v>
      </c>
    </row>
    <row r="4" spans="1:8" x14ac:dyDescent="0.35">
      <c r="B4" t="s">
        <v>89</v>
      </c>
    </row>
    <row r="6" spans="1:8" x14ac:dyDescent="0.35">
      <c r="B6" t="s">
        <v>90</v>
      </c>
      <c r="C6" s="4">
        <v>-2382.5742893333331</v>
      </c>
      <c r="D6" s="4">
        <v>-38.750226000000005</v>
      </c>
      <c r="E6" s="4">
        <v>0</v>
      </c>
      <c r="F6" s="4"/>
      <c r="G6" s="4">
        <v>0</v>
      </c>
      <c r="H6" s="4">
        <v>0</v>
      </c>
    </row>
    <row r="7" spans="1:8" x14ac:dyDescent="0.35">
      <c r="B7" t="s">
        <v>91</v>
      </c>
      <c r="C7" s="5">
        <v>298.61200000000002</v>
      </c>
      <c r="D7" s="5">
        <v>295.36900000000003</v>
      </c>
      <c r="E7" s="5">
        <v>0</v>
      </c>
      <c r="F7" s="5"/>
      <c r="G7" s="5">
        <v>0</v>
      </c>
      <c r="H7" s="5">
        <v>0</v>
      </c>
    </row>
    <row r="8" spans="1:8" x14ac:dyDescent="0.35">
      <c r="B8" t="s">
        <v>92</v>
      </c>
      <c r="C8" s="5">
        <v>30.047000000000001</v>
      </c>
      <c r="D8" s="5">
        <v>-17.802</v>
      </c>
      <c r="E8" s="5">
        <v>0</v>
      </c>
      <c r="F8" s="5"/>
      <c r="G8" s="5">
        <v>0</v>
      </c>
      <c r="H8" s="5">
        <v>0</v>
      </c>
    </row>
    <row r="9" spans="1:8" x14ac:dyDescent="0.35">
      <c r="A9" t="s">
        <v>109</v>
      </c>
      <c r="B9" t="s">
        <v>93</v>
      </c>
      <c r="C9" s="6">
        <v>-2053.9152893333335</v>
      </c>
      <c r="D9" s="6">
        <f>(SUM(D6:D8))</f>
        <v>238.81677400000004</v>
      </c>
      <c r="E9" s="6">
        <f>(+D9*1.17)</f>
        <v>279.41562558000004</v>
      </c>
      <c r="F9" s="6">
        <v>279.41562558000004</v>
      </c>
      <c r="G9" s="6">
        <f>(E9*(1+6.9%))</f>
        <v>298.69530374502006</v>
      </c>
      <c r="H9" s="6">
        <f>(G9*(1+14%))</f>
        <v>340.51264626932289</v>
      </c>
    </row>
    <row r="10" spans="1:8" x14ac:dyDescent="0.35">
      <c r="A10" t="s">
        <v>106</v>
      </c>
      <c r="B10" t="s">
        <v>94</v>
      </c>
      <c r="C10" s="7">
        <v>2382.5742893333331</v>
      </c>
      <c r="D10" s="7">
        <v>38.750226000000005</v>
      </c>
      <c r="E10" s="7">
        <f>+D10</f>
        <v>38.750226000000005</v>
      </c>
      <c r="F10" s="7">
        <v>38.750226000000005</v>
      </c>
      <c r="G10" s="7">
        <f>+E10</f>
        <v>38.750226000000005</v>
      </c>
      <c r="H10" s="7">
        <f t="shared" ref="H10" si="0">+G10</f>
        <v>38.750226000000005</v>
      </c>
    </row>
    <row r="11" spans="1:8" x14ac:dyDescent="0.35">
      <c r="A11" t="s">
        <v>107</v>
      </c>
      <c r="B11" t="s">
        <v>95</v>
      </c>
      <c r="C11" s="8">
        <v>-26869.07516</v>
      </c>
      <c r="D11" s="8">
        <v>-25941.961159999999</v>
      </c>
      <c r="E11" s="8">
        <v>-25941.961159999999</v>
      </c>
      <c r="F11" s="8">
        <v>-25941.961159999999</v>
      </c>
      <c r="G11" s="8">
        <v>-25941.961159999999</v>
      </c>
      <c r="H11" s="8">
        <v>-25941.961159999999</v>
      </c>
    </row>
    <row r="12" spans="1:8" x14ac:dyDescent="0.35">
      <c r="A12" t="s">
        <v>106</v>
      </c>
      <c r="B12" t="s">
        <v>96</v>
      </c>
      <c r="C12" s="9">
        <v>1763.3510000000001</v>
      </c>
      <c r="D12" s="9">
        <v>2123.0762289999998</v>
      </c>
      <c r="E12" s="9">
        <f>(D12)</f>
        <v>2123.0762289999998</v>
      </c>
      <c r="F12" s="9">
        <v>2123.0762289999998</v>
      </c>
      <c r="G12" s="9">
        <f>(E12*(1+6.3%))</f>
        <v>2256.8300314269995</v>
      </c>
      <c r="H12" s="9">
        <f>(G12*(1+14%))</f>
        <v>2572.7862358267798</v>
      </c>
    </row>
    <row r="13" spans="1:8" x14ac:dyDescent="0.35">
      <c r="A13" t="s">
        <v>107</v>
      </c>
      <c r="B13" t="s">
        <v>97</v>
      </c>
      <c r="C13" s="8">
        <v>-242.96995999999999</v>
      </c>
      <c r="D13" s="8">
        <v>329.86192800000003</v>
      </c>
      <c r="E13" s="8">
        <v>329.86192800000003</v>
      </c>
      <c r="F13" s="8">
        <v>329.86192800000003</v>
      </c>
      <c r="G13" s="8">
        <v>329.86192800000003</v>
      </c>
      <c r="H13" s="8">
        <v>329.86192800000003</v>
      </c>
    </row>
    <row r="14" spans="1:8" x14ac:dyDescent="0.35">
      <c r="A14" t="s">
        <v>107</v>
      </c>
      <c r="B14" t="s">
        <v>98</v>
      </c>
      <c r="C14" s="8">
        <v>137.44137866666665</v>
      </c>
      <c r="D14" s="8">
        <v>-216.39435</v>
      </c>
      <c r="E14" s="8">
        <v>-216.39435</v>
      </c>
      <c r="F14" s="8">
        <v>-216.39435</v>
      </c>
      <c r="G14" s="8">
        <v>-216.39435</v>
      </c>
      <c r="H14" s="8">
        <v>-216.39435</v>
      </c>
    </row>
    <row r="15" spans="1:8" x14ac:dyDescent="0.35">
      <c r="B15" t="s">
        <v>32</v>
      </c>
      <c r="C15" s="6">
        <v>-24882.593741333334</v>
      </c>
      <c r="D15" s="6">
        <f>(+D9+D10+D11+D12+D13+D14)</f>
        <v>-23427.850353000002</v>
      </c>
      <c r="E15" s="6">
        <f t="shared" ref="E15:H15" si="1">(+E9+E10+E11+E12+E13+E14)</f>
        <v>-23387.25150142</v>
      </c>
      <c r="F15" s="6">
        <v>-23387.25150142</v>
      </c>
      <c r="G15" s="6">
        <f t="shared" si="1"/>
        <v>-23234.218020827982</v>
      </c>
      <c r="H15" s="6">
        <f t="shared" si="1"/>
        <v>-22876.444473903895</v>
      </c>
    </row>
    <row r="16" spans="1:8" x14ac:dyDescent="0.35">
      <c r="A16" t="s">
        <v>108</v>
      </c>
      <c r="B16" t="s">
        <v>99</v>
      </c>
      <c r="C16" s="10">
        <v>19232.259434666699</v>
      </c>
      <c r="D16" s="10">
        <v>18884.430434666701</v>
      </c>
      <c r="E16" s="10">
        <v>18884.430434666701</v>
      </c>
      <c r="F16" s="10">
        <v>18884.430434666701</v>
      </c>
      <c r="G16" s="10">
        <v>18884.430434666701</v>
      </c>
      <c r="H16" s="10">
        <v>18884.430434666701</v>
      </c>
    </row>
    <row r="17" spans="1:8" x14ac:dyDescent="0.35">
      <c r="A17" t="s">
        <v>108</v>
      </c>
      <c r="B17" t="s">
        <v>100</v>
      </c>
      <c r="C17" s="10">
        <v>306.93946399999999</v>
      </c>
      <c r="D17" s="10">
        <v>875.24560199999996</v>
      </c>
      <c r="E17" s="10">
        <v>875.24560199999996</v>
      </c>
      <c r="F17" s="10">
        <v>875.24560199999996</v>
      </c>
      <c r="G17" s="10">
        <v>875.24560199999996</v>
      </c>
      <c r="H17" s="10">
        <v>875.24560199999996</v>
      </c>
    </row>
    <row r="18" spans="1:8" x14ac:dyDescent="0.35">
      <c r="A18" t="s">
        <v>108</v>
      </c>
      <c r="B18" t="s">
        <v>96</v>
      </c>
      <c r="C18" s="11">
        <v>-1763.3510000000001</v>
      </c>
      <c r="D18" s="11">
        <f>(-D12)</f>
        <v>-2123.0762289999998</v>
      </c>
      <c r="E18" s="11">
        <f>-E12</f>
        <v>-2123.0762289999998</v>
      </c>
      <c r="F18" s="11">
        <v>-2123.0762289999998</v>
      </c>
      <c r="G18" s="11">
        <f t="shared" ref="G18:H18" si="2">-G12</f>
        <v>-2256.8300314269995</v>
      </c>
      <c r="H18" s="11">
        <f t="shared" si="2"/>
        <v>-2572.7862358267798</v>
      </c>
    </row>
    <row r="19" spans="1:8" x14ac:dyDescent="0.35">
      <c r="B19" t="s">
        <v>34</v>
      </c>
      <c r="C19" s="12">
        <f>(+C15+C16+C17+C18)</f>
        <v>-7106.7458426666344</v>
      </c>
      <c r="D19" s="12">
        <f>(+D15+D16+D17+D18)</f>
        <v>-5791.2505453332997</v>
      </c>
      <c r="E19" s="12">
        <f t="shared" ref="E19:H19" si="3">(+E15+E16+E17+E18)</f>
        <v>-5750.6516937532979</v>
      </c>
      <c r="F19" s="12">
        <v>-5750.6516937532979</v>
      </c>
      <c r="G19" s="12">
        <f t="shared" si="3"/>
        <v>-5731.3720155882802</v>
      </c>
      <c r="H19" s="12">
        <f t="shared" si="3"/>
        <v>-5689.5546730639744</v>
      </c>
    </row>
    <row r="20" spans="1:8" x14ac:dyDescent="0.35">
      <c r="B20" t="s">
        <v>101</v>
      </c>
      <c r="C20" s="10">
        <v>10948.811914666665</v>
      </c>
      <c r="D20" s="10">
        <v>8832.6109146666986</v>
      </c>
      <c r="E20" s="10">
        <f>+D20</f>
        <v>8832.6109146666986</v>
      </c>
      <c r="F20" s="10">
        <v>8832.6109146666986</v>
      </c>
      <c r="G20" s="10">
        <f>+E20</f>
        <v>8832.6109146666986</v>
      </c>
      <c r="H20" s="10">
        <f t="shared" ref="H20" si="4">+G20</f>
        <v>8832.6109146666986</v>
      </c>
    </row>
    <row r="21" spans="1:8" x14ac:dyDescent="0.35">
      <c r="B21" t="s">
        <v>102</v>
      </c>
      <c r="C21" s="13">
        <v>3842.0660720000305</v>
      </c>
      <c r="D21" s="13">
        <f>(+D19+D20)</f>
        <v>3041.3603693333989</v>
      </c>
      <c r="E21" s="13">
        <f t="shared" ref="E21:H21" si="5">(+E19+E20)</f>
        <v>3081.9592209134007</v>
      </c>
      <c r="F21" s="13">
        <v>3081.9592209134007</v>
      </c>
      <c r="G21" s="13">
        <f t="shared" si="5"/>
        <v>3101.2388990784184</v>
      </c>
      <c r="H21" s="13">
        <f t="shared" si="5"/>
        <v>3143.0562416027242</v>
      </c>
    </row>
    <row r="22" spans="1:8" x14ac:dyDescent="0.35">
      <c r="A22" t="s">
        <v>110</v>
      </c>
      <c r="B22" t="s">
        <v>103</v>
      </c>
      <c r="C22" s="5">
        <v>-595.22914800000001</v>
      </c>
      <c r="D22" s="5">
        <v>-1368.8821480000001</v>
      </c>
      <c r="E22" s="5">
        <v>-1000</v>
      </c>
      <c r="F22" s="5">
        <v>-1000</v>
      </c>
      <c r="G22" s="5">
        <v>-1000</v>
      </c>
      <c r="H22" s="5">
        <v>-1000</v>
      </c>
    </row>
    <row r="23" spans="1:8" x14ac:dyDescent="0.35">
      <c r="B23" t="s">
        <v>104</v>
      </c>
      <c r="C23" s="6">
        <v>3246.8369240000302</v>
      </c>
      <c r="D23" s="6">
        <f>(D21+D22)</f>
        <v>1672.4782213333988</v>
      </c>
      <c r="E23" s="6">
        <f t="shared" ref="E23:H23" si="6">(E21+E22)</f>
        <v>2081.9592209134007</v>
      </c>
      <c r="F23" s="6">
        <v>2081.9592209134007</v>
      </c>
      <c r="G23" s="6">
        <f t="shared" si="6"/>
        <v>2101.2388990784184</v>
      </c>
      <c r="H23" s="6">
        <f t="shared" si="6"/>
        <v>2143.0562416027242</v>
      </c>
    </row>
    <row r="26" spans="1:8" x14ac:dyDescent="0.35">
      <c r="A26" t="s">
        <v>109</v>
      </c>
      <c r="C26" s="8">
        <f>+C9</f>
        <v>-2053.9152893333335</v>
      </c>
      <c r="D26" s="8">
        <f t="shared" ref="D26:H26" si="7">+D9</f>
        <v>238.81677400000004</v>
      </c>
      <c r="E26" s="8">
        <f t="shared" si="7"/>
        <v>279.41562558000004</v>
      </c>
      <c r="F26" s="8">
        <v>279.41562558000004</v>
      </c>
      <c r="G26" s="8">
        <f t="shared" si="7"/>
        <v>298.69530374502006</v>
      </c>
      <c r="H26" s="8">
        <f t="shared" si="7"/>
        <v>340.51264626932289</v>
      </c>
    </row>
    <row r="27" spans="1:8" x14ac:dyDescent="0.35">
      <c r="A27" t="s">
        <v>111</v>
      </c>
      <c r="C27" s="8">
        <f>+C10+C12</f>
        <v>4145.9252893333332</v>
      </c>
      <c r="D27" s="8">
        <f t="shared" ref="D27:H27" si="8">+D10+D12</f>
        <v>2161.8264549999999</v>
      </c>
      <c r="E27" s="8">
        <f t="shared" si="8"/>
        <v>2161.8264549999999</v>
      </c>
      <c r="F27" s="8">
        <v>2161.8264549999999</v>
      </c>
      <c r="G27" s="8">
        <f t="shared" si="8"/>
        <v>2295.5802574269997</v>
      </c>
      <c r="H27" s="8">
        <f t="shared" si="8"/>
        <v>2611.5364618267799</v>
      </c>
    </row>
    <row r="28" spans="1:8" x14ac:dyDescent="0.35">
      <c r="A28" t="s">
        <v>107</v>
      </c>
      <c r="C28" s="8">
        <f>+C11+C13+C14</f>
        <v>-26974.603741333332</v>
      </c>
      <c r="D28" s="8">
        <f t="shared" ref="D28:H28" si="9">+D11+D13+D14</f>
        <v>-25828.493581999999</v>
      </c>
      <c r="E28" s="8">
        <f t="shared" si="9"/>
        <v>-25828.493581999999</v>
      </c>
      <c r="F28" s="8">
        <v>-25828.493581999999</v>
      </c>
      <c r="G28" s="8">
        <f t="shared" si="9"/>
        <v>-25828.493581999999</v>
      </c>
      <c r="H28" s="8">
        <f t="shared" si="9"/>
        <v>-25828.493581999999</v>
      </c>
    </row>
    <row r="30" spans="1:8" x14ac:dyDescent="0.35">
      <c r="A30" t="s">
        <v>108</v>
      </c>
      <c r="C30" s="8">
        <f>+C16+C17+C18</f>
        <v>17775.8478986667</v>
      </c>
      <c r="D30" s="8">
        <f t="shared" ref="D30:H30" si="10">+D16+D17+D18</f>
        <v>17636.599807666702</v>
      </c>
      <c r="E30" s="8">
        <f t="shared" si="10"/>
        <v>17636.599807666702</v>
      </c>
      <c r="F30" s="8">
        <v>17636.599807666702</v>
      </c>
      <c r="G30" s="8">
        <f t="shared" si="10"/>
        <v>17502.846005239702</v>
      </c>
      <c r="H30" s="8">
        <f t="shared" si="10"/>
        <v>17186.889800839919</v>
      </c>
    </row>
    <row r="31" spans="1:8" x14ac:dyDescent="0.35">
      <c r="A31" t="s">
        <v>112</v>
      </c>
      <c r="C31" s="8">
        <f>+C20</f>
        <v>10948.811914666665</v>
      </c>
      <c r="D31" s="8">
        <f t="shared" ref="D31:H31" si="11">+D20</f>
        <v>8832.6109146666986</v>
      </c>
      <c r="E31" s="8">
        <f t="shared" si="11"/>
        <v>8832.6109146666986</v>
      </c>
      <c r="F31" s="8">
        <f t="shared" si="11"/>
        <v>8832.6109146666986</v>
      </c>
      <c r="G31" s="8">
        <f t="shared" si="11"/>
        <v>8832.6109146666986</v>
      </c>
      <c r="H31" s="8">
        <f t="shared" si="11"/>
        <v>8832.6109146666986</v>
      </c>
    </row>
    <row r="33" spans="1:8" x14ac:dyDescent="0.35">
      <c r="A33" t="s">
        <v>110</v>
      </c>
      <c r="C33" s="8">
        <f>+C22</f>
        <v>-595.22914800000001</v>
      </c>
      <c r="D33" s="8">
        <f t="shared" ref="D33:H33" si="12">+D22</f>
        <v>-1368.8821480000001</v>
      </c>
      <c r="E33" s="8">
        <f t="shared" si="12"/>
        <v>-1000</v>
      </c>
      <c r="F33" s="8">
        <f t="shared" si="12"/>
        <v>-1000</v>
      </c>
      <c r="G33" s="8">
        <f t="shared" si="12"/>
        <v>-1000</v>
      </c>
      <c r="H33" s="8">
        <f t="shared" si="12"/>
        <v>-1000</v>
      </c>
    </row>
  </sheetData>
  <conditionalFormatting sqref="G1:H1">
    <cfRule type="expression" dxfId="31" priority="1">
      <formula>LEFT(G1,1)="▲"</formula>
    </cfRule>
    <cfRule type="expression" dxfId="30" priority="2">
      <formula>LEFT(G1,1)="▼"</formula>
    </cfRule>
    <cfRule type="expression" dxfId="29" priority="3">
      <formula>G1="NM"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10AD9-259C-4ACA-B947-13FBC766420D}">
  <sheetPr>
    <tabColor rgb="FFFFC000"/>
  </sheetPr>
  <dimension ref="A2:J27"/>
  <sheetViews>
    <sheetView topLeftCell="A7" workbookViewId="0">
      <selection activeCell="G20" sqref="G20"/>
    </sheetView>
  </sheetViews>
  <sheetFormatPr baseColWidth="10" defaultRowHeight="14.5" x14ac:dyDescent="0.35"/>
  <cols>
    <col min="1" max="1" width="29.08984375" bestFit="1" customWidth="1"/>
    <col min="2" max="2" width="18.1796875" bestFit="1" customWidth="1"/>
    <col min="3" max="3" width="14.1796875" style="163" bestFit="1" customWidth="1"/>
    <col min="4" max="5" width="14.1796875" bestFit="1" customWidth="1"/>
  </cols>
  <sheetData>
    <row r="2" spans="1:10" x14ac:dyDescent="0.35">
      <c r="A2" s="160" t="s">
        <v>116</v>
      </c>
      <c r="B2" s="160" t="s">
        <v>117</v>
      </c>
      <c r="C2" s="161" t="s">
        <v>116</v>
      </c>
      <c r="D2" s="160" t="s">
        <v>117</v>
      </c>
      <c r="E2" s="160" t="s">
        <v>118</v>
      </c>
    </row>
    <row r="3" spans="1:10" ht="14.5" customHeight="1" x14ac:dyDescent="0.35">
      <c r="A3" s="162" t="s">
        <v>119</v>
      </c>
      <c r="B3" s="162" t="s">
        <v>119</v>
      </c>
      <c r="C3" s="163">
        <v>311712708.72899997</v>
      </c>
      <c r="D3" s="163">
        <v>314257662</v>
      </c>
      <c r="E3" s="14">
        <f>+C3-D3</f>
        <v>-2544953.2710000277</v>
      </c>
    </row>
    <row r="4" spans="1:10" x14ac:dyDescent="0.35">
      <c r="A4" s="164" t="s">
        <v>120</v>
      </c>
      <c r="B4" s="164" t="s">
        <v>32</v>
      </c>
      <c r="C4" s="163">
        <v>94675316.312000006</v>
      </c>
      <c r="D4" s="163">
        <v>117512803</v>
      </c>
      <c r="E4" s="14">
        <f t="shared" ref="E4:E7" si="0">+C4-D4</f>
        <v>-22837486.687999994</v>
      </c>
    </row>
    <row r="5" spans="1:10" x14ac:dyDescent="0.35">
      <c r="A5" s="164" t="s">
        <v>121</v>
      </c>
      <c r="B5" s="164" t="s">
        <v>34</v>
      </c>
      <c r="C5" s="163">
        <v>38472636.736000001</v>
      </c>
      <c r="D5" s="163">
        <v>48136780</v>
      </c>
      <c r="E5" s="14">
        <f t="shared" si="0"/>
        <v>-9664143.2639999986</v>
      </c>
      <c r="F5" t="s">
        <v>122</v>
      </c>
    </row>
    <row r="6" spans="1:10" x14ac:dyDescent="0.35">
      <c r="A6" s="164" t="s">
        <v>123</v>
      </c>
      <c r="B6" s="164" t="s">
        <v>102</v>
      </c>
      <c r="C6" s="163">
        <v>31992366.864</v>
      </c>
      <c r="D6" s="163">
        <v>32676459</v>
      </c>
      <c r="E6" s="14">
        <f t="shared" si="0"/>
        <v>-684092.13599999994</v>
      </c>
    </row>
    <row r="7" spans="1:10" x14ac:dyDescent="0.35">
      <c r="A7" s="164" t="s">
        <v>124</v>
      </c>
      <c r="B7" s="164" t="s">
        <v>104</v>
      </c>
      <c r="C7" s="163">
        <v>22354655.537</v>
      </c>
      <c r="D7" s="163">
        <v>20413229</v>
      </c>
      <c r="E7" s="14">
        <f t="shared" si="0"/>
        <v>1941426.5370000005</v>
      </c>
    </row>
    <row r="8" spans="1:10" x14ac:dyDescent="0.35">
      <c r="C8" s="165"/>
    </row>
    <row r="10" spans="1:10" x14ac:dyDescent="0.35">
      <c r="D10" t="s">
        <v>90</v>
      </c>
      <c r="E10" s="4">
        <v>-2864837.5869999998</v>
      </c>
      <c r="I10">
        <v>42</v>
      </c>
    </row>
    <row r="11" spans="1:10" ht="16" x14ac:dyDescent="0.4">
      <c r="A11" s="166"/>
      <c r="D11" t="s">
        <v>91</v>
      </c>
      <c r="E11" s="5">
        <v>284427.91200000001</v>
      </c>
      <c r="I11" s="167">
        <v>0.37</v>
      </c>
      <c r="J11" s="167">
        <v>0.63</v>
      </c>
    </row>
    <row r="12" spans="1:10" x14ac:dyDescent="0.35">
      <c r="D12" t="s">
        <v>125</v>
      </c>
      <c r="E12" s="5">
        <v>35456</v>
      </c>
      <c r="I12">
        <f>I10*I11</f>
        <v>15.54</v>
      </c>
      <c r="J12">
        <f>I10-I12</f>
        <v>26.46</v>
      </c>
    </row>
    <row r="13" spans="1:10" x14ac:dyDescent="0.35">
      <c r="D13" s="168" t="s">
        <v>93</v>
      </c>
      <c r="E13" s="13">
        <f>SUM(E10:E12)</f>
        <v>-2544953.6749999998</v>
      </c>
      <c r="G13" s="8"/>
    </row>
    <row r="14" spans="1:10" x14ac:dyDescent="0.35">
      <c r="D14" t="s">
        <v>94</v>
      </c>
      <c r="E14" s="4">
        <f>-E10</f>
        <v>2864837.5869999998</v>
      </c>
    </row>
    <row r="15" spans="1:10" x14ac:dyDescent="0.35">
      <c r="D15" t="s">
        <v>95</v>
      </c>
      <c r="E15" s="5">
        <v>-27916179.16</v>
      </c>
    </row>
    <row r="16" spans="1:10" x14ac:dyDescent="0.35">
      <c r="D16" t="s">
        <v>96</v>
      </c>
      <c r="E16" s="169">
        <v>3410093.4989999998</v>
      </c>
      <c r="G16" s="170"/>
    </row>
    <row r="17" spans="4:10" x14ac:dyDescent="0.35">
      <c r="D17" t="s">
        <v>97</v>
      </c>
      <c r="E17" s="5">
        <v>120723.266</v>
      </c>
      <c r="I17">
        <v>42</v>
      </c>
      <c r="J17">
        <v>15.54</v>
      </c>
    </row>
    <row r="18" spans="4:10" x14ac:dyDescent="0.35">
      <c r="D18" t="s">
        <v>98</v>
      </c>
      <c r="E18" s="5">
        <v>1227991.926</v>
      </c>
    </row>
    <row r="19" spans="4:10" x14ac:dyDescent="0.35">
      <c r="D19" s="168" t="s">
        <v>32</v>
      </c>
      <c r="E19" s="13">
        <f>+E13+E14+E15+E16+E17+E18</f>
        <v>-22837486.557</v>
      </c>
      <c r="G19" s="14"/>
    </row>
    <row r="20" spans="4:10" x14ac:dyDescent="0.35">
      <c r="D20" t="s">
        <v>99</v>
      </c>
      <c r="E20" s="10">
        <v>19196109.434666701</v>
      </c>
    </row>
    <row r="21" spans="4:10" x14ac:dyDescent="0.35">
      <c r="D21" t="s">
        <v>100</v>
      </c>
      <c r="E21" s="10">
        <v>-2612672.216</v>
      </c>
    </row>
    <row r="22" spans="4:10" x14ac:dyDescent="0.35">
      <c r="D22" t="s">
        <v>96</v>
      </c>
      <c r="E22" s="11">
        <f>-E16</f>
        <v>-3410093.4989999998</v>
      </c>
    </row>
    <row r="23" spans="4:10" x14ac:dyDescent="0.35">
      <c r="D23" s="168" t="s">
        <v>34</v>
      </c>
      <c r="E23" s="12">
        <f>+E19+E20+E21+E22</f>
        <v>-9664142.8373332992</v>
      </c>
      <c r="G23" s="8"/>
    </row>
    <row r="24" spans="4:10" x14ac:dyDescent="0.35">
      <c r="D24" t="s">
        <v>101</v>
      </c>
      <c r="E24" s="10">
        <v>8980050.9146666992</v>
      </c>
    </row>
    <row r="25" spans="4:10" x14ac:dyDescent="0.35">
      <c r="D25" s="168" t="s">
        <v>102</v>
      </c>
      <c r="E25" s="13">
        <f>+E23+E24</f>
        <v>-684091.92266659997</v>
      </c>
      <c r="G25" s="14"/>
    </row>
    <row r="26" spans="4:10" x14ac:dyDescent="0.35">
      <c r="D26" t="s">
        <v>103</v>
      </c>
      <c r="E26" s="5">
        <v>2625519.469</v>
      </c>
    </row>
    <row r="27" spans="4:10" x14ac:dyDescent="0.35">
      <c r="D27" s="168" t="s">
        <v>104</v>
      </c>
      <c r="E27" s="13">
        <f>E25+E26</f>
        <v>1941427.5463334001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563CA-9A5E-4C47-A798-FF084B4FAC70}">
  <sheetPr>
    <tabColor rgb="FFFFC000"/>
  </sheetPr>
  <dimension ref="A2:X33"/>
  <sheetViews>
    <sheetView workbookViewId="0">
      <selection activeCell="E10" sqref="E10:E27"/>
    </sheetView>
  </sheetViews>
  <sheetFormatPr baseColWidth="10" defaultRowHeight="14.5" x14ac:dyDescent="0.35"/>
  <cols>
    <col min="1" max="1" width="32.6328125" customWidth="1"/>
    <col min="2" max="2" width="18.1796875" bestFit="1" customWidth="1"/>
    <col min="3" max="3" width="14.26953125" style="163" bestFit="1" customWidth="1"/>
    <col min="4" max="4" width="21.1796875" customWidth="1"/>
    <col min="5" max="5" width="15.7265625" customWidth="1"/>
    <col min="6" max="6" width="12.453125" bestFit="1" customWidth="1"/>
    <col min="7" max="7" width="15.1796875" style="163" bestFit="1" customWidth="1"/>
  </cols>
  <sheetData>
    <row r="2" spans="1:24" x14ac:dyDescent="0.35">
      <c r="A2" s="160" t="s">
        <v>116</v>
      </c>
      <c r="B2" s="160" t="s">
        <v>117</v>
      </c>
      <c r="C2" s="171" t="s">
        <v>116</v>
      </c>
      <c r="D2" s="172" t="s">
        <v>117</v>
      </c>
      <c r="E2" s="172" t="s">
        <v>118</v>
      </c>
    </row>
    <row r="3" spans="1:24" ht="14.5" customHeight="1" x14ac:dyDescent="0.35">
      <c r="A3" s="162" t="s">
        <v>119</v>
      </c>
      <c r="B3" s="162" t="s">
        <v>119</v>
      </c>
      <c r="C3" s="173">
        <f>281395110530/1000</f>
        <v>281395110.52999997</v>
      </c>
      <c r="D3" s="173">
        <v>283449025.45599997</v>
      </c>
      <c r="E3" s="14">
        <f>+C3-D3</f>
        <v>-2053914.925999999</v>
      </c>
      <c r="U3" s="163"/>
      <c r="V3" s="14">
        <f>+D3-U3</f>
        <v>283449025.45599997</v>
      </c>
      <c r="X3">
        <v>285257856</v>
      </c>
    </row>
    <row r="4" spans="1:24" x14ac:dyDescent="0.35">
      <c r="A4" s="164" t="s">
        <v>120</v>
      </c>
      <c r="B4" s="164" t="s">
        <v>32</v>
      </c>
      <c r="C4" s="174">
        <f>83997785550/1000</f>
        <v>83997785.549999997</v>
      </c>
      <c r="D4" s="174">
        <v>108880379.484</v>
      </c>
      <c r="E4" s="14">
        <f t="shared" ref="E4:E7" si="0">+C4-D4</f>
        <v>-24882593.934</v>
      </c>
      <c r="U4" s="163"/>
      <c r="V4" s="14">
        <f>+D4-U4</f>
        <v>108880379.484</v>
      </c>
      <c r="X4">
        <v>108470871</v>
      </c>
    </row>
    <row r="5" spans="1:24" x14ac:dyDescent="0.35">
      <c r="A5" s="164" t="s">
        <v>121</v>
      </c>
      <c r="B5" s="164" t="s">
        <v>34</v>
      </c>
      <c r="C5" s="174">
        <f>28896986951/1000</f>
        <v>28896986.951000001</v>
      </c>
      <c r="D5" s="174">
        <v>36003732.310000002</v>
      </c>
      <c r="E5" s="14">
        <f t="shared" si="0"/>
        <v>-7106745.3590000011</v>
      </c>
      <c r="T5" t="s">
        <v>122</v>
      </c>
      <c r="U5" s="163"/>
      <c r="V5" s="14">
        <f>+D5-U5</f>
        <v>36003732.310000002</v>
      </c>
      <c r="X5">
        <v>35594224</v>
      </c>
    </row>
    <row r="6" spans="1:24" x14ac:dyDescent="0.35">
      <c r="A6" s="164" t="s">
        <v>123</v>
      </c>
      <c r="B6" s="164" t="s">
        <v>102</v>
      </c>
      <c r="C6" s="174">
        <f>21593377216/1000</f>
        <v>21593377.215999998</v>
      </c>
      <c r="D6" s="174">
        <v>17751310.752999999</v>
      </c>
      <c r="E6" s="14">
        <f t="shared" si="0"/>
        <v>3842066.4629999995</v>
      </c>
      <c r="U6" s="163"/>
      <c r="V6" s="14">
        <f>+D6-U6</f>
        <v>17751310.752999999</v>
      </c>
      <c r="X6">
        <v>17260163</v>
      </c>
    </row>
    <row r="7" spans="1:24" x14ac:dyDescent="0.35">
      <c r="A7" s="164" t="s">
        <v>124</v>
      </c>
      <c r="B7" s="164" t="s">
        <v>104</v>
      </c>
      <c r="C7" s="174">
        <f>13842001007/1000</f>
        <v>13842001.006999999</v>
      </c>
      <c r="D7" s="174">
        <v>10595163.692</v>
      </c>
      <c r="E7" s="14">
        <f t="shared" si="0"/>
        <v>3246837.3149999995</v>
      </c>
      <c r="U7" s="163"/>
      <c r="V7" s="14">
        <f>+D7-U7</f>
        <v>10595163.692</v>
      </c>
      <c r="X7">
        <v>10104016</v>
      </c>
    </row>
    <row r="8" spans="1:24" x14ac:dyDescent="0.35">
      <c r="C8" s="165"/>
    </row>
    <row r="10" spans="1:24" x14ac:dyDescent="0.35">
      <c r="D10" t="s">
        <v>90</v>
      </c>
      <c r="E10" s="4">
        <v>-2382574.2893333333</v>
      </c>
      <c r="G10" s="163">
        <v>300000</v>
      </c>
    </row>
    <row r="11" spans="1:24" x14ac:dyDescent="0.35">
      <c r="D11" t="s">
        <v>91</v>
      </c>
      <c r="E11" s="5">
        <v>298612</v>
      </c>
      <c r="G11" s="163">
        <v>153000</v>
      </c>
    </row>
    <row r="12" spans="1:24" x14ac:dyDescent="0.35">
      <c r="D12" t="s">
        <v>92</v>
      </c>
      <c r="E12" s="5">
        <v>30047</v>
      </c>
      <c r="G12" s="163">
        <f>G10-G11</f>
        <v>147000</v>
      </c>
    </row>
    <row r="13" spans="1:24" x14ac:dyDescent="0.35">
      <c r="D13" s="168" t="s">
        <v>93</v>
      </c>
      <c r="E13" s="6">
        <f>SUM(E10:E12)</f>
        <v>-2053915.2893333333</v>
      </c>
    </row>
    <row r="14" spans="1:24" x14ac:dyDescent="0.35">
      <c r="D14" t="s">
        <v>94</v>
      </c>
      <c r="E14" s="7">
        <v>2382574.2893333333</v>
      </c>
    </row>
    <row r="15" spans="1:24" x14ac:dyDescent="0.35">
      <c r="D15" t="s">
        <v>95</v>
      </c>
      <c r="E15" s="8">
        <v>-26869075.16</v>
      </c>
    </row>
    <row r="16" spans="1:24" x14ac:dyDescent="0.35">
      <c r="D16" t="s">
        <v>96</v>
      </c>
      <c r="E16" s="9">
        <v>1763351</v>
      </c>
      <c r="F16" s="8"/>
      <c r="I16" s="8"/>
    </row>
    <row r="17" spans="4:9" x14ac:dyDescent="0.35">
      <c r="D17" t="s">
        <v>97</v>
      </c>
      <c r="E17" s="8">
        <v>-242969.96</v>
      </c>
      <c r="G17" s="170"/>
    </row>
    <row r="18" spans="4:9" x14ac:dyDescent="0.35">
      <c r="D18" t="s">
        <v>98</v>
      </c>
      <c r="E18" s="8">
        <v>137441.37866666666</v>
      </c>
    </row>
    <row r="19" spans="4:9" x14ac:dyDescent="0.35">
      <c r="D19" s="168" t="s">
        <v>32</v>
      </c>
      <c r="E19" s="6">
        <f>+E13+E14+E15+E16+E17+E18</f>
        <v>-24882593.741333336</v>
      </c>
      <c r="H19" s="8"/>
    </row>
    <row r="20" spans="4:9" x14ac:dyDescent="0.35">
      <c r="D20" t="s">
        <v>99</v>
      </c>
      <c r="E20" s="10">
        <v>19232259.434666701</v>
      </c>
    </row>
    <row r="21" spans="4:9" x14ac:dyDescent="0.35">
      <c r="D21" t="s">
        <v>100</v>
      </c>
      <c r="E21" s="10">
        <v>306939.46399999998</v>
      </c>
    </row>
    <row r="22" spans="4:9" x14ac:dyDescent="0.35">
      <c r="D22" t="s">
        <v>96</v>
      </c>
      <c r="E22" s="11">
        <f>-E16</f>
        <v>-1763351</v>
      </c>
    </row>
    <row r="23" spans="4:9" x14ac:dyDescent="0.35">
      <c r="D23" s="168" t="s">
        <v>34</v>
      </c>
      <c r="E23" s="12">
        <f>+E19+E20+E21+E22</f>
        <v>-7106745.8426666353</v>
      </c>
      <c r="I23" s="8"/>
    </row>
    <row r="24" spans="4:9" x14ac:dyDescent="0.35">
      <c r="D24" t="s">
        <v>101</v>
      </c>
      <c r="E24" s="10">
        <v>10948811.914666666</v>
      </c>
    </row>
    <row r="25" spans="4:9" x14ac:dyDescent="0.35">
      <c r="D25" s="168" t="s">
        <v>102</v>
      </c>
      <c r="E25" s="13">
        <f>+E23+E24</f>
        <v>3842066.0720000304</v>
      </c>
    </row>
    <row r="26" spans="4:9" x14ac:dyDescent="0.35">
      <c r="D26" t="s">
        <v>103</v>
      </c>
      <c r="E26" s="5">
        <v>-595229.14800000004</v>
      </c>
    </row>
    <row r="27" spans="4:9" x14ac:dyDescent="0.35">
      <c r="D27" s="168" t="s">
        <v>104</v>
      </c>
      <c r="E27" s="6">
        <f>E25+E26</f>
        <v>3246836.9240000304</v>
      </c>
    </row>
    <row r="33" spans="5:6" x14ac:dyDescent="0.35">
      <c r="E33" t="s">
        <v>126</v>
      </c>
      <c r="F33">
        <v>10033452914.666666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B9666-584F-4455-AED0-7BFB15991B8F}">
  <sheetPr>
    <tabColor rgb="FFFFC000"/>
  </sheetPr>
  <dimension ref="B2:J28"/>
  <sheetViews>
    <sheetView topLeftCell="B1" workbookViewId="0">
      <selection activeCell="E10" sqref="E10:E27"/>
    </sheetView>
  </sheetViews>
  <sheetFormatPr baseColWidth="10" defaultRowHeight="14.5" x14ac:dyDescent="0.35"/>
  <cols>
    <col min="1" max="1" width="7.26953125" customWidth="1"/>
    <col min="2" max="2" width="29.08984375" bestFit="1" customWidth="1"/>
    <col min="3" max="3" width="18.1796875" bestFit="1" customWidth="1"/>
    <col min="4" max="4" width="14.1796875" style="163" bestFit="1" customWidth="1"/>
    <col min="5" max="5" width="27.90625" customWidth="1"/>
    <col min="6" max="6" width="17.08984375" customWidth="1"/>
    <col min="7" max="7" width="65.6328125" customWidth="1"/>
  </cols>
  <sheetData>
    <row r="2" spans="2:10" x14ac:dyDescent="0.35">
      <c r="B2" s="160" t="s">
        <v>116</v>
      </c>
      <c r="C2" s="160" t="s">
        <v>117</v>
      </c>
      <c r="D2" s="171" t="s">
        <v>116</v>
      </c>
      <c r="E2" s="172" t="s">
        <v>117</v>
      </c>
      <c r="F2" s="172" t="s">
        <v>118</v>
      </c>
      <c r="G2" t="s">
        <v>127</v>
      </c>
    </row>
    <row r="3" spans="2:10" ht="159.5" x14ac:dyDescent="0.35">
      <c r="B3" s="162" t="s">
        <v>119</v>
      </c>
      <c r="C3" s="162" t="s">
        <v>119</v>
      </c>
      <c r="D3" s="175">
        <v>301380192.26999998</v>
      </c>
      <c r="E3" s="175">
        <v>301141375</v>
      </c>
      <c r="F3" s="176">
        <f>+D3-E3</f>
        <v>238817.26999998093</v>
      </c>
      <c r="G3" s="177" t="s">
        <v>128</v>
      </c>
    </row>
    <row r="4" spans="2:10" ht="72.5" x14ac:dyDescent="0.35">
      <c r="B4" s="164" t="s">
        <v>120</v>
      </c>
      <c r="C4" s="164" t="s">
        <v>32</v>
      </c>
      <c r="D4" s="163">
        <v>99688088.983999997</v>
      </c>
      <c r="E4" s="163">
        <v>123115939</v>
      </c>
      <c r="F4" s="14">
        <f t="shared" ref="F4:F7" si="0">+D4-E4</f>
        <v>-23427850.016000003</v>
      </c>
      <c r="G4" s="177" t="s">
        <v>129</v>
      </c>
    </row>
    <row r="5" spans="2:10" x14ac:dyDescent="0.35">
      <c r="B5" s="164" t="s">
        <v>121</v>
      </c>
      <c r="C5" s="164" t="s">
        <v>34</v>
      </c>
      <c r="D5" s="163">
        <v>42012964.321999997</v>
      </c>
      <c r="E5" s="163">
        <v>47804215</v>
      </c>
      <c r="F5" s="14">
        <f t="shared" si="0"/>
        <v>-5791250.6780000031</v>
      </c>
    </row>
    <row r="6" spans="2:10" x14ac:dyDescent="0.35">
      <c r="B6" s="164" t="s">
        <v>123</v>
      </c>
      <c r="C6" s="164" t="s">
        <v>102</v>
      </c>
      <c r="D6" s="163">
        <v>31899307.820999999</v>
      </c>
      <c r="E6" s="163">
        <v>28857948</v>
      </c>
      <c r="F6" s="14">
        <f t="shared" si="0"/>
        <v>3041359.8209999986</v>
      </c>
    </row>
    <row r="7" spans="2:10" x14ac:dyDescent="0.35">
      <c r="B7" s="164" t="s">
        <v>124</v>
      </c>
      <c r="C7" s="164" t="s">
        <v>104</v>
      </c>
      <c r="D7" s="163">
        <v>22713124.199000001</v>
      </c>
      <c r="E7" s="163">
        <v>21040646</v>
      </c>
      <c r="F7" s="14">
        <f t="shared" si="0"/>
        <v>1672478.199000001</v>
      </c>
    </row>
    <row r="8" spans="2:10" x14ac:dyDescent="0.35">
      <c r="D8" s="165"/>
    </row>
    <row r="11" spans="2:10" ht="16" x14ac:dyDescent="0.4">
      <c r="B11" s="166"/>
      <c r="E11" t="s">
        <v>90</v>
      </c>
      <c r="F11" s="4">
        <v>-38750.226000000002</v>
      </c>
      <c r="G11" s="4">
        <v>-2382574.2893333333</v>
      </c>
      <c r="H11" s="4">
        <v>-2864837.5869999998</v>
      </c>
    </row>
    <row r="12" spans="2:10" x14ac:dyDescent="0.35">
      <c r="E12" t="s">
        <v>91</v>
      </c>
      <c r="F12" s="5">
        <v>295369</v>
      </c>
      <c r="G12" s="5">
        <v>298612</v>
      </c>
      <c r="H12" s="5">
        <v>284427.91200000001</v>
      </c>
    </row>
    <row r="13" spans="2:10" x14ac:dyDescent="0.35">
      <c r="E13" t="s">
        <v>92</v>
      </c>
      <c r="F13" s="5">
        <v>-17802</v>
      </c>
      <c r="G13" s="5">
        <v>30047</v>
      </c>
      <c r="H13" s="5">
        <v>35456</v>
      </c>
    </row>
    <row r="14" spans="2:10" x14ac:dyDescent="0.35">
      <c r="E14" s="168" t="s">
        <v>93</v>
      </c>
      <c r="F14" s="6">
        <f>SUM(F11:F13)</f>
        <v>238816.774</v>
      </c>
      <c r="G14" s="6">
        <v>-2053915.2893333333</v>
      </c>
      <c r="H14" s="13">
        <f>SUM(H11:H13)</f>
        <v>-2544953.6749999998</v>
      </c>
      <c r="J14" s="8">
        <f t="shared" ref="J14:J19" si="1">+AVERAGE(F14:H14)</f>
        <v>-1453350.730111111</v>
      </c>
    </row>
    <row r="15" spans="2:10" x14ac:dyDescent="0.35">
      <c r="E15" t="s">
        <v>94</v>
      </c>
      <c r="F15" s="7">
        <v>38750.226000000002</v>
      </c>
      <c r="G15" s="7">
        <v>2382574.2893333333</v>
      </c>
      <c r="H15" s="4">
        <f>-H11</f>
        <v>2864837.5869999998</v>
      </c>
      <c r="J15" s="8">
        <f t="shared" si="1"/>
        <v>1762054.0341111112</v>
      </c>
    </row>
    <row r="16" spans="2:10" x14ac:dyDescent="0.35">
      <c r="E16" t="s">
        <v>95</v>
      </c>
      <c r="F16" s="8">
        <v>-25941961.16</v>
      </c>
      <c r="G16" s="8">
        <v>-26869075.16</v>
      </c>
      <c r="H16" s="5">
        <v>-27916179.16</v>
      </c>
      <c r="J16" s="8">
        <f t="shared" si="1"/>
        <v>-26909071.826666668</v>
      </c>
    </row>
    <row r="17" spans="5:10" x14ac:dyDescent="0.35">
      <c r="E17" t="s">
        <v>96</v>
      </c>
      <c r="F17" s="9">
        <v>2123076.2289999998</v>
      </c>
      <c r="G17" s="9">
        <v>1763351</v>
      </c>
      <c r="H17" s="169">
        <v>3410093.4989999998</v>
      </c>
      <c r="J17" s="8">
        <f t="shared" si="1"/>
        <v>2432173.5759999999</v>
      </c>
    </row>
    <row r="18" spans="5:10" x14ac:dyDescent="0.35">
      <c r="E18" t="s">
        <v>97</v>
      </c>
      <c r="F18" s="8">
        <v>329861.92800000001</v>
      </c>
      <c r="G18" s="8">
        <v>-242969.96</v>
      </c>
      <c r="H18" s="5">
        <v>120723.266</v>
      </c>
      <c r="J18" s="8">
        <f t="shared" si="1"/>
        <v>69205.078000000009</v>
      </c>
    </row>
    <row r="19" spans="5:10" x14ac:dyDescent="0.35">
      <c r="E19" t="s">
        <v>98</v>
      </c>
      <c r="F19" s="8">
        <v>-216394.35</v>
      </c>
      <c r="G19" s="8">
        <v>137441.37866666666</v>
      </c>
      <c r="H19" s="5">
        <v>1227991.926</v>
      </c>
      <c r="J19" s="8">
        <f t="shared" si="1"/>
        <v>383012.9848888889</v>
      </c>
    </row>
    <row r="20" spans="5:10" x14ac:dyDescent="0.35">
      <c r="E20" s="168" t="s">
        <v>32</v>
      </c>
      <c r="F20" s="6">
        <f>+F14+F15+F16+F17+F18+F19</f>
        <v>-23427850.353000004</v>
      </c>
      <c r="G20" s="6">
        <v>-24882593.741333336</v>
      </c>
      <c r="H20" s="13">
        <f>+H14+H15+H16+H17+H18+H19</f>
        <v>-22837486.557</v>
      </c>
      <c r="J20" s="8">
        <f>+AVERAGE(F20:H20)</f>
        <v>-23715976.883777779</v>
      </c>
    </row>
    <row r="21" spans="5:10" x14ac:dyDescent="0.35">
      <c r="E21" t="s">
        <v>99</v>
      </c>
      <c r="F21" s="10">
        <v>18884430.434666701</v>
      </c>
      <c r="G21" s="10">
        <v>19232259.434666701</v>
      </c>
      <c r="H21" s="10">
        <v>19196109.434666701</v>
      </c>
    </row>
    <row r="22" spans="5:10" x14ac:dyDescent="0.35">
      <c r="E22" t="s">
        <v>100</v>
      </c>
      <c r="F22" s="10">
        <v>875245.60199999996</v>
      </c>
      <c r="G22" s="10">
        <v>306939.46399999998</v>
      </c>
      <c r="H22" s="10">
        <v>-2612672.216</v>
      </c>
    </row>
    <row r="23" spans="5:10" x14ac:dyDescent="0.35">
      <c r="E23" t="s">
        <v>96</v>
      </c>
      <c r="F23" s="11">
        <f>-F17</f>
        <v>-2123076.2289999998</v>
      </c>
      <c r="G23" s="11">
        <v>-1763351</v>
      </c>
      <c r="H23" s="11">
        <f>-H17</f>
        <v>-3410093.4989999998</v>
      </c>
    </row>
    <row r="24" spans="5:10" x14ac:dyDescent="0.35">
      <c r="E24" s="168" t="s">
        <v>34</v>
      </c>
      <c r="F24" s="12">
        <f>+F20+F21+F22+F23</f>
        <v>-5791250.5453333035</v>
      </c>
      <c r="G24" s="12">
        <v>-7106745.8426666353</v>
      </c>
      <c r="H24" s="12">
        <f>+H20+H21+H22+H23</f>
        <v>-9664142.8373332992</v>
      </c>
      <c r="J24" s="8">
        <f>+AVERAGE(F24:H24)</f>
        <v>-7520713.075111079</v>
      </c>
    </row>
    <row r="25" spans="5:10" x14ac:dyDescent="0.35">
      <c r="E25" t="s">
        <v>101</v>
      </c>
      <c r="F25" s="10">
        <v>8832610.9146666992</v>
      </c>
      <c r="G25" s="10">
        <v>10948811.914666666</v>
      </c>
      <c r="H25" s="10">
        <v>8980050.9146666992</v>
      </c>
      <c r="J25" s="8">
        <f>+AVERAGE(F25:H25)</f>
        <v>9587157.9146666881</v>
      </c>
    </row>
    <row r="26" spans="5:10" x14ac:dyDescent="0.35">
      <c r="E26" s="168" t="s">
        <v>102</v>
      </c>
      <c r="F26" s="13">
        <f>+F24+F25</f>
        <v>3041360.3693333957</v>
      </c>
      <c r="G26" s="13">
        <v>3842066.0720000304</v>
      </c>
      <c r="H26" s="13">
        <f>+H24+H25</f>
        <v>-684091.92266659997</v>
      </c>
    </row>
    <row r="27" spans="5:10" x14ac:dyDescent="0.35">
      <c r="E27" t="s">
        <v>103</v>
      </c>
      <c r="F27" s="5">
        <v>-1368882.148</v>
      </c>
      <c r="G27" s="5">
        <v>-595229.14800000004</v>
      </c>
      <c r="H27" s="5">
        <v>2625519.469</v>
      </c>
    </row>
    <row r="28" spans="5:10" x14ac:dyDescent="0.35">
      <c r="E28" s="168" t="s">
        <v>104</v>
      </c>
      <c r="F28" s="6">
        <f>F26+F27</f>
        <v>1672478.2213333957</v>
      </c>
      <c r="G28" s="6">
        <v>3246836.9240000304</v>
      </c>
      <c r="H28" s="13">
        <f>H26+H27</f>
        <v>1941427.5463334001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Stand-Ohada</vt:lpstr>
      <vt:lpstr>Conso</vt:lpstr>
      <vt:lpstr>Adjustments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Issa Kone [ MTN Cote d'Ivoire ]</dc:creator>
  <cp:lastModifiedBy>Issa Kone [ MTN Cote d'Ivoire ]</cp:lastModifiedBy>
  <dcterms:created xsi:type="dcterms:W3CDTF">2026-08-20T11:23:41Z</dcterms:created>
  <dcterms:modified xsi:type="dcterms:W3CDTF">2026-08-26T15:53:50Z</dcterms:modified>
</cp:coreProperties>
</file>